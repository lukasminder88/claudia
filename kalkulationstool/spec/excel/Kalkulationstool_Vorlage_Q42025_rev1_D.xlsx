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aphax.sharepoint.com/sites/PM/Freigegebene Dokumente/15_Sales Tools/Kalk-Tools - Feuille de calculation/"/>
    </mc:Choice>
  </mc:AlternateContent>
  <xr:revisionPtr revIDLastSave="214" documentId="8_{229BF19F-DD7C-44D9-9FF2-DA693002C54D}" xr6:coauthVersionLast="47" xr6:coauthVersionMax="47" xr10:uidLastSave="{9516E0B4-11A6-43D9-87C7-231A50339A1F}"/>
  <bookViews>
    <workbookView showSheetTabs="0" xWindow="-120" yWindow="-120" windowWidth="29040" windowHeight="17520" tabRatio="858" activeTab="3" xr2:uid="{00000000-000D-0000-FFFF-FFFF00000000}"/>
  </bookViews>
  <sheets>
    <sheet name="Kalkulation" sheetId="1" r:id="rId1"/>
    <sheet name="Detail Solutions" sheetId="20" r:id="rId2"/>
    <sheet name="GE-Leasing" sheetId="9" r:id="rId3"/>
    <sheet name="Miete Graphax" sheetId="19" r:id="rId4"/>
    <sheet name="Listen" sheetId="21" state="hidden" r:id="rId5"/>
  </sheets>
  <definedNames>
    <definedName name="lstAnlieferung">Listen!$L$2:$L$5</definedName>
    <definedName name="lstBusinessType">Listen!$J$2:$J$4</definedName>
    <definedName name="lstClickType">Listen!$G$2:$G$3</definedName>
    <definedName name="lstFaktGebuehren">Listen!$M$2:$M$3</definedName>
    <definedName name="lstFaktLeasing">Listen!$B$2:$B$3</definedName>
    <definedName name="lstFakturierung">Listen!$C$2:$C$5</definedName>
    <definedName name="lstFCMaintenance">Listen!$R$2:$R$2</definedName>
    <definedName name="lstFCProjekt">Listen!$S$2:$S$3</definedName>
    <definedName name="lstFCSoftware">Listen!$Q$2:$Q$2</definedName>
    <definedName name="lstFleet">Listen!$I$2:$I$4</definedName>
    <definedName name="lstJaNein">Listen!$A$2:$A$3</definedName>
    <definedName name="lstKalkHW">Listen!$E$2:$E$5</definedName>
    <definedName name="lstKalkSW">Listen!$F$2:$F$5</definedName>
    <definedName name="lstLabelKontakt">Listen!$U$2:$U$5</definedName>
    <definedName name="lstLabelPauschale">Listen!$T$2:$T$5</definedName>
    <definedName name="lstLaufzeit">Listen!$D$2:$D$7</definedName>
    <definedName name="lstMehrscan">Listen!$P$2:$P$3</definedName>
    <definedName name="lstMehrseitenColor">Listen!$N$2:$N$3</definedName>
    <definedName name="lstMehrseitenSW">Listen!$O$2:$O$3</definedName>
    <definedName name="lstSLA">Listen!$H$2:$H$5</definedName>
    <definedName name="lstSLAType">Listen!$W$2:$W$41</definedName>
    <definedName name="lstSupportType">Listen!$V$2:$V$56</definedName>
    <definedName name="lstVertragsart">Listen!$K$2:$K$8</definedName>
    <definedName name="lstZaehler">Listen!$X$2:$X$20</definedName>
    <definedName name="tblZaehler">Listen!$X$2:$AB$20</definedName>
  </definedNames>
  <calcPr calcId="191028"/>
  <webPublishing targetScreenSize="1024x768" codePage="1252"/>
  <webPublishObjects count="1">
    <webPublishObject id="3408" divId="Tool zur Kommissionsabrechnung - Account Manager 1.0-2005_3408" destinationFile="C:\Dokumente und Einstellungen\jan\Desktop\Budgetierung 2005\Kommissionierung\Tool zur Kommissionsabrechnung - Account Manager 1.0-2005.htm"/>
  </webPublishObjec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9" l="1"/>
  <c r="F32" i="19"/>
  <c r="F34" i="19"/>
  <c r="F36" i="19"/>
  <c r="F47" i="19"/>
  <c r="G47" i="19"/>
  <c r="F48" i="19"/>
  <c r="G48" i="19"/>
  <c r="G49" i="19"/>
  <c r="F46" i="19"/>
  <c r="G46" i="19"/>
  <c r="F45" i="19"/>
  <c r="G45" i="19"/>
  <c r="F40" i="19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D47" i="1"/>
  <c r="C47" i="1"/>
  <c r="C53" i="1"/>
  <c r="E54" i="1"/>
  <c r="E47" i="1"/>
  <c r="E48" i="1"/>
  <c r="E49" i="1"/>
  <c r="E50" i="1"/>
  <c r="E51" i="1"/>
  <c r="E52" i="1"/>
  <c r="E53" i="1"/>
  <c r="C54" i="1"/>
  <c r="E21" i="20"/>
  <c r="H21" i="20"/>
  <c r="E22" i="20"/>
  <c r="H22" i="20"/>
  <c r="E23" i="20"/>
  <c r="H23" i="20"/>
  <c r="E24" i="20"/>
  <c r="H24" i="20"/>
  <c r="E25" i="20"/>
  <c r="H25" i="20"/>
  <c r="E26" i="20"/>
  <c r="H26" i="20"/>
  <c r="E27" i="20"/>
  <c r="H27" i="20"/>
  <c r="E28" i="20"/>
  <c r="H28" i="20"/>
  <c r="E29" i="20"/>
  <c r="H29" i="20"/>
  <c r="E30" i="20"/>
  <c r="H30" i="20"/>
  <c r="E31" i="20"/>
  <c r="H31" i="20"/>
  <c r="E32" i="20"/>
  <c r="H32" i="20"/>
  <c r="E33" i="20"/>
  <c r="H33" i="20"/>
  <c r="E34" i="20"/>
  <c r="H34" i="20"/>
  <c r="E35" i="20"/>
  <c r="H35" i="20"/>
  <c r="E36" i="20"/>
  <c r="H36" i="20"/>
  <c r="E37" i="20"/>
  <c r="H37" i="20"/>
  <c r="E38" i="20"/>
  <c r="H38" i="20"/>
  <c r="H39" i="20"/>
  <c r="L27" i="1"/>
  <c r="L28" i="1"/>
  <c r="L29" i="1"/>
  <c r="L30" i="1"/>
  <c r="L32" i="1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K27" i="1"/>
  <c r="K28" i="1"/>
  <c r="K29" i="1"/>
  <c r="K30" i="1"/>
  <c r="K31" i="1"/>
  <c r="I32" i="1"/>
  <c r="E43" i="20"/>
  <c r="H43" i="20"/>
  <c r="E44" i="20"/>
  <c r="H44" i="20"/>
  <c r="E45" i="20"/>
  <c r="H45" i="20"/>
  <c r="E46" i="20"/>
  <c r="H46" i="20"/>
  <c r="E47" i="20"/>
  <c r="H47" i="20"/>
  <c r="E48" i="20"/>
  <c r="H48" i="20"/>
  <c r="E49" i="20"/>
  <c r="H49" i="20"/>
  <c r="E50" i="20"/>
  <c r="H50" i="20"/>
  <c r="E51" i="20"/>
  <c r="H51" i="20"/>
  <c r="E52" i="20"/>
  <c r="H52" i="20"/>
  <c r="E53" i="20"/>
  <c r="H53" i="20"/>
  <c r="E54" i="20"/>
  <c r="H54" i="20"/>
  <c r="E55" i="20"/>
  <c r="H55" i="20"/>
  <c r="E56" i="20"/>
  <c r="H56" i="20"/>
  <c r="H57" i="20"/>
  <c r="L36" i="1"/>
  <c r="L37" i="1"/>
  <c r="L39" i="1"/>
  <c r="K37" i="1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K36" i="1"/>
  <c r="K38" i="1"/>
  <c r="I39" i="1"/>
  <c r="H61" i="20"/>
  <c r="H62" i="20"/>
  <c r="H63" i="20"/>
  <c r="H64" i="20"/>
  <c r="H65" i="20"/>
  <c r="H66" i="20"/>
  <c r="H67" i="20"/>
  <c r="H68" i="20"/>
  <c r="H69" i="20"/>
  <c r="H70" i="20"/>
  <c r="H71" i="20"/>
  <c r="L45" i="1"/>
  <c r="L46" i="1"/>
  <c r="L47" i="1"/>
  <c r="L48" i="1"/>
  <c r="L49" i="1"/>
  <c r="I49" i="1"/>
  <c r="C58" i="1"/>
  <c r="L51" i="1"/>
  <c r="K52" i="1"/>
  <c r="C57" i="1"/>
  <c r="C59" i="1"/>
  <c r="C60" i="1"/>
  <c r="C61" i="1"/>
  <c r="C62" i="1"/>
  <c r="H15" i="19"/>
  <c r="G15" i="19"/>
  <c r="F15" i="19"/>
  <c r="E15" i="19"/>
  <c r="D15" i="19"/>
  <c r="C15" i="19"/>
  <c r="D39" i="9"/>
  <c r="D41" i="9"/>
  <c r="E9" i="9"/>
  <c r="D43" i="9"/>
  <c r="C43" i="9"/>
  <c r="F13" i="9"/>
  <c r="E13" i="9"/>
  <c r="D13" i="9"/>
  <c r="C13" i="9"/>
  <c r="F12" i="9"/>
  <c r="E12" i="9"/>
  <c r="D12" i="9"/>
  <c r="C12" i="9"/>
  <c r="F11" i="9"/>
  <c r="E11" i="9"/>
  <c r="D11" i="9"/>
  <c r="C11" i="9"/>
  <c r="F10" i="9"/>
  <c r="E10" i="9"/>
  <c r="D10" i="9"/>
  <c r="C10" i="9"/>
  <c r="F9" i="9"/>
  <c r="D9" i="9"/>
  <c r="C9" i="9"/>
  <c r="A71" i="20"/>
  <c r="M51" i="1"/>
  <c r="I70" i="20"/>
  <c r="I69" i="20"/>
  <c r="I68" i="20"/>
  <c r="I67" i="20"/>
  <c r="I66" i="20"/>
  <c r="I65" i="20"/>
  <c r="I64" i="20"/>
  <c r="I63" i="20"/>
  <c r="I62" i="20"/>
  <c r="I61" i="20"/>
  <c r="E57" i="20"/>
  <c r="M39" i="1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E39" i="20"/>
  <c r="M31" i="1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J6" i="20"/>
  <c r="B6" i="20"/>
  <c r="E5" i="20"/>
  <c r="D5" i="20"/>
  <c r="C5" i="20"/>
  <c r="B5" i="20"/>
  <c r="J4" i="20"/>
  <c r="D4" i="20"/>
  <c r="B4" i="20"/>
  <c r="J3" i="20"/>
  <c r="D3" i="20"/>
  <c r="B3" i="20"/>
  <c r="I1" i="20"/>
  <c r="D1" i="20"/>
  <c r="C1" i="20"/>
  <c r="A1" i="20"/>
  <c r="L41" i="1"/>
  <c r="L83" i="1"/>
  <c r="L92" i="1"/>
  <c r="L89" i="1"/>
  <c r="L93" i="1"/>
  <c r="H58" i="1"/>
  <c r="H63" i="1"/>
  <c r="H68" i="1"/>
  <c r="L94" i="1"/>
  <c r="L95" i="1"/>
  <c r="H95" i="1"/>
  <c r="J94" i="1"/>
  <c r="I94" i="1"/>
  <c r="D93" i="1"/>
  <c r="C93" i="1"/>
  <c r="H92" i="1"/>
  <c r="J90" i="1"/>
  <c r="I90" i="1"/>
  <c r="H90" i="1"/>
  <c r="D90" i="1"/>
  <c r="C90" i="1"/>
  <c r="H88" i="1"/>
  <c r="I88" i="1"/>
  <c r="J88" i="1"/>
  <c r="L88" i="1"/>
  <c r="M88" i="1"/>
  <c r="D87" i="1"/>
  <c r="C87" i="1"/>
  <c r="H86" i="1"/>
  <c r="D73" i="1"/>
  <c r="D75" i="1"/>
  <c r="D77" i="1"/>
  <c r="D79" i="1"/>
  <c r="D81" i="1"/>
  <c r="D84" i="1"/>
  <c r="I86" i="1"/>
  <c r="H14" i="1"/>
  <c r="J86" i="1"/>
  <c r="L86" i="1"/>
  <c r="J84" i="1"/>
  <c r="L84" i="1"/>
  <c r="I84" i="1"/>
  <c r="C84" i="1"/>
  <c r="H83" i="1"/>
  <c r="C81" i="1"/>
  <c r="C79" i="1"/>
  <c r="M78" i="1"/>
  <c r="K78" i="1"/>
  <c r="J78" i="1"/>
  <c r="C77" i="1"/>
  <c r="C75" i="1"/>
  <c r="M74" i="1"/>
  <c r="C73" i="1"/>
  <c r="G15" i="1"/>
  <c r="M72" i="1"/>
  <c r="M70" i="1"/>
  <c r="I27" i="1"/>
  <c r="I31" i="1"/>
  <c r="I36" i="1"/>
  <c r="I38" i="1"/>
  <c r="B65" i="1"/>
  <c r="B64" i="1"/>
  <c r="B63" i="1"/>
  <c r="B58" i="1"/>
  <c r="D55" i="1"/>
  <c r="C55" i="1"/>
  <c r="B55" i="1"/>
  <c r="B54" i="1"/>
  <c r="M48" i="1"/>
  <c r="M47" i="1"/>
  <c r="B47" i="1"/>
  <c r="M46" i="1"/>
  <c r="M45" i="1"/>
  <c r="I45" i="1"/>
  <c r="J41" i="1"/>
  <c r="I41" i="1"/>
  <c r="H39" i="1"/>
  <c r="M37" i="1"/>
  <c r="M36" i="1"/>
  <c r="I33" i="1"/>
  <c r="H32" i="1"/>
  <c r="M30" i="1"/>
  <c r="M29" i="1"/>
  <c r="M28" i="1"/>
  <c r="M27" i="1"/>
  <c r="M21" i="1"/>
  <c r="H11" i="1"/>
  <c r="E11" i="1"/>
  <c r="B11" i="1"/>
  <c r="A11" i="1"/>
  <c r="M10" i="1"/>
  <c r="H10" i="1"/>
  <c r="C10" i="1"/>
  <c r="M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Marguerite Genier</author>
    <author>Meyer Stéphane</author>
    <author>mst</author>
    <author>Rating Frédérik</author>
    <author>ran</author>
    <author>Stemmle Marco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Kunden Name einfügen
</t>
        </r>
      </text>
    </comment>
    <comment ref="D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Strasse/Adresse einfügen
</t>
        </r>
      </text>
    </comment>
    <comment ref="G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Kontaktperson/ Ansprechpartner,
Tel. Nr. + Fax Nr. + e-mail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6" authorId="0" shapeId="0" xr:uid="{37BE330B-1D25-4687-96BA-1D85B4584C90}">
      <text>
        <r>
          <rPr>
            <b/>
            <sz val="8"/>
            <color indexed="81"/>
            <rFont val="Tahoma"/>
            <family val="2"/>
          </rPr>
          <t xml:space="preserve">Abteilung / Stockwerk einfügen
</t>
        </r>
      </text>
    </comment>
    <comment ref="D6" authorId="0" shapeId="0" xr:uid="{2D60E824-C126-46BA-8D2C-14150EF4C88C}">
      <text>
        <r>
          <rPr>
            <b/>
            <sz val="8"/>
            <color indexed="81"/>
            <rFont val="Tahoma"/>
            <family val="2"/>
          </rPr>
          <t xml:space="preserve">
Strasse/Adresse einfügen
</t>
        </r>
      </text>
    </comment>
    <comment ref="G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7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Abteilung / Stockwerk einfügen
</t>
        </r>
      </text>
    </comment>
    <comment ref="D7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
Strasse/Adresse einfügen
</t>
        </r>
      </text>
    </comment>
    <comment ref="G7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 xr:uid="{00000000-0006-0000-0000-00000B000000}">
      <text>
        <r>
          <rPr>
            <b/>
            <sz val="10"/>
            <color indexed="14"/>
            <rFont val="Tahoma"/>
            <family val="2"/>
          </rPr>
          <t>Kontaktperson/ Ansprechpartner / Geräteverantworlicher vor Ort,
Tel. Nr. + Fax Nr. + E-mail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8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Kontaktperson Instruktion Name/Vorname
einfügen</t>
        </r>
      </text>
    </comment>
    <comment ref="E8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Telefon Nr. einfügen</t>
        </r>
      </text>
    </comment>
    <comment ref="B9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Kontaktperson Netzwerkintegration
Name / Vorname einfügen</t>
        </r>
      </text>
    </comment>
    <comment ref="E9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Telefon Nr. einfügen</t>
        </r>
      </text>
    </comment>
    <comment ref="I15" authorId="1" shapeId="0" xr:uid="{00000000-0006-0000-0000-000013000000}">
      <text>
        <r>
          <rPr>
            <b/>
            <sz val="10"/>
            <color indexed="18"/>
            <rFont val="Tahoma"/>
            <family val="2"/>
          </rPr>
          <t>Nur für Leasing: Zahlungsweise pro Monat oder pro Quartal (3 Monate)</t>
        </r>
      </text>
    </comment>
    <comment ref="G16" authorId="2" shapeId="0" xr:uid="{00000000-0006-0000-0000-000014000000}">
      <text>
        <r>
          <rPr>
            <b/>
            <sz val="10"/>
            <color indexed="12"/>
            <rFont val="Tahoma"/>
            <family val="2"/>
          </rPr>
          <t xml:space="preserve">Nur für Miete: Spezial-Mieterate
</t>
        </r>
      </text>
    </comment>
    <comment ref="H16" authorId="2" shapeId="0" xr:uid="{00000000-0006-0000-0000-000015000000}">
      <text>
        <r>
          <rPr>
            <b/>
            <sz val="10"/>
            <color indexed="12"/>
            <rFont val="Tahoma"/>
            <family val="2"/>
          </rPr>
          <t xml:space="preserve">Nur für Leasing: Spezial-Leasingrate
</t>
        </r>
      </text>
    </comment>
    <comment ref="J16" authorId="3" shapeId="0" xr:uid="{64D60AFA-8491-420F-9421-801932F19935}">
      <text>
        <r>
          <rPr>
            <b/>
            <sz val="9"/>
            <color indexed="81"/>
            <rFont val="Segoe UI"/>
            <family val="2"/>
          </rPr>
          <t>Rating Frédérik:</t>
        </r>
        <r>
          <rPr>
            <sz val="9"/>
            <color indexed="81"/>
            <rFont val="Segoe UI"/>
            <family val="2"/>
          </rPr>
          <t xml:space="preserve">
Bei Laufzeiten, die von den aufgelisteten Standards abweichen (z.B. bei der Nachbestellung einer Software-Lizenz): Anzahl Monate eintragen und beim Teamleiter den entsprechenden Spezial-Mietfaktor anfragen.</t>
        </r>
      </text>
    </comment>
    <comment ref="D19" authorId="4" shapeId="0" xr:uid="{00000000-0006-0000-0000-000016000000}">
      <text>
        <r>
          <rPr>
            <b/>
            <sz val="8"/>
            <color indexed="81"/>
            <rFont val="Tahoma"/>
            <family val="2"/>
          </rPr>
          <t>ran:</t>
        </r>
        <r>
          <rPr>
            <sz val="8"/>
            <color indexed="81"/>
            <rFont val="Tahoma"/>
            <family val="2"/>
          </rPr>
          <t xml:space="preserve">
Falls Rücknahme/Restwert eines Graphax Gerätes, Feld ankreuzen. Bei Fremdgeräten frei lassen.</t>
        </r>
      </text>
    </comment>
    <comment ref="M19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Restwert einrechnen in % (altes Gerät)</t>
        </r>
      </text>
    </comment>
    <comment ref="J58" authorId="1" shapeId="0" xr:uid="{00000000-0006-0000-0000-000019000000}">
      <text>
        <r>
          <rPr>
            <b/>
            <sz val="12"/>
            <color indexed="14"/>
            <rFont val="Arial"/>
            <family val="2"/>
          </rPr>
          <t xml:space="preserve">SLA Type 
Auswählen
</t>
        </r>
      </text>
    </comment>
    <comment ref="C60" authorId="2" shapeId="0" xr:uid="{00000000-0006-0000-0000-000018000000}">
      <text>
        <r>
          <rPr>
            <b/>
            <sz val="8"/>
            <color indexed="81"/>
            <rFont val="Tahoma"/>
            <family val="2"/>
          </rPr>
          <t>Dieser Wert wird automatisch berechnet.</t>
        </r>
      </text>
    </comment>
    <comment ref="C61" authorId="2" shapeId="0" xr:uid="{00000000-0006-0000-0000-00001A000000}">
      <text>
        <r>
          <rPr>
            <b/>
            <sz val="10"/>
            <color indexed="12"/>
            <rFont val="Tahoma"/>
            <family val="2"/>
          </rPr>
          <t>Im Vertrag eingerechnete Dienstleistungen (Integration, Instruktion, Transport, etc…).</t>
        </r>
      </text>
    </comment>
    <comment ref="J64" authorId="1" shapeId="0" xr:uid="{00000000-0006-0000-0000-00001C000000}">
      <text>
        <r>
          <rPr>
            <b/>
            <sz val="12"/>
            <color indexed="14"/>
            <rFont val="Arial"/>
            <family val="2"/>
          </rPr>
          <t xml:space="preserve">Fleet Type 
Auswählen
</t>
        </r>
      </text>
    </comment>
    <comment ref="A66" authorId="1" shapeId="0" xr:uid="{00000000-0006-0000-0000-00001B000000}">
      <text>
        <r>
          <rPr>
            <b/>
            <sz val="9"/>
            <color indexed="14"/>
            <rFont val="Tahoma"/>
            <family val="2"/>
          </rPr>
          <t>Geben Sie Bitte den  Support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5" authorId="5" shapeId="0" xr:uid="{157DB394-0053-43A7-844D-0DD7909E63BF}">
      <text>
        <r>
          <rPr>
            <b/>
            <sz val="9"/>
            <color indexed="10"/>
            <rFont val="Tahoma"/>
            <family val="2"/>
          </rPr>
          <t>Bei einem "Ja" &gt; 
CHF 35.00 für die Dienstleistung N4000 berechnen!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75" authorId="5" shapeId="0" xr:uid="{EC43BCF5-696E-421A-928C-F88FAADF1797}">
      <text>
        <r>
          <rPr>
            <b/>
            <sz val="9"/>
            <color indexed="10"/>
            <rFont val="Tahoma"/>
            <family val="2"/>
          </rPr>
          <t>Bei einem "Ja" &gt; 
CHF 35.00 für die Dienstleistung N4000 berechnen!</t>
        </r>
      </text>
    </comment>
    <comment ref="A96" authorId="1" shapeId="0" xr:uid="{00000000-0006-0000-0000-00001D000000}">
      <text>
        <r>
          <rPr>
            <b/>
            <sz val="9"/>
            <color indexed="14"/>
            <rFont val="Tahoma"/>
            <family val="2"/>
          </rPr>
          <t xml:space="preserve">Normal - Genügend grosser Lift vorhanden ohne weitere Treppen (1 Person) 
Treppe - Treppe mit geraden Stufen vorhanden (Einsatz von Treppensteiger, 2 Personen)
Trag-Equipe - Einsatz von einer Zügelfirma 
Spezial Transport - Erschwerte Bedingungen, weitere Vorabklärungen notwendig.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Marguerite Genier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Kunden Name einfügen
</t>
        </r>
      </text>
    </comment>
    <comment ref="C5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 xml:space="preserve">Strasse/Adresse einfügen
</t>
        </r>
      </text>
    </comment>
    <comment ref="D5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 xml:space="preserve">PLZ/Ort einfügen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Kontaktperson/ Ansprechpartner,
Tel. Nr. + Fax Nr.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<sst xmlns="http://schemas.openxmlformats.org/spreadsheetml/2006/main" count="585" uniqueCount="423">
  <si>
    <t>Kalkulationstool</t>
  </si>
  <si>
    <t>Mehrseitenpreis color - CHF :</t>
  </si>
  <si>
    <t>Fakt. Pauschale</t>
  </si>
  <si>
    <t>Fakt. Mehrseiten</t>
  </si>
  <si>
    <t>A3 = A4</t>
  </si>
  <si>
    <t>Basic -  CHF  0.00</t>
  </si>
  <si>
    <t>Ja</t>
  </si>
  <si>
    <t>Normal</t>
  </si>
  <si>
    <t>Verdeckt</t>
  </si>
  <si>
    <t>6010 Fleet Service Level Basic</t>
  </si>
  <si>
    <t>Exchange / Austausch</t>
  </si>
  <si>
    <t>.</t>
  </si>
  <si>
    <t>Alle Farbseiten - CHF :</t>
  </si>
  <si>
    <t>Monatlich</t>
  </si>
  <si>
    <t>A3 = 2 * A4</t>
  </si>
  <si>
    <t>Basic Plus - CHF 15.00</t>
  </si>
  <si>
    <t>Nein</t>
  </si>
  <si>
    <t>Treppe</t>
  </si>
  <si>
    <t>Umwandlung</t>
  </si>
  <si>
    <t>Offen gem. Offerte</t>
  </si>
  <si>
    <t>AARGAU</t>
  </si>
  <si>
    <t>6020 Fleet Service Level Progress</t>
  </si>
  <si>
    <t>New Business / Neuplatzierung</t>
  </si>
  <si>
    <t>Verkäufer :</t>
  </si>
  <si>
    <t xml:space="preserve">Verkäufer Nr.: </t>
  </si>
  <si>
    <t>Servicegebiet Code</t>
  </si>
  <si>
    <t xml:space="preserve">Kunden/CRM Nr. </t>
  </si>
  <si>
    <t>Hauptkontakt Nr.</t>
  </si>
  <si>
    <t xml:space="preserve">    Navigationsbereich</t>
  </si>
  <si>
    <t>Quartalsweise</t>
  </si>
  <si>
    <t>Premium - CHF 50.00</t>
  </si>
  <si>
    <t>Trag-Equipe</t>
  </si>
  <si>
    <t>Verlängerung</t>
  </si>
  <si>
    <t>6030 Fleet Service Level Analysis</t>
  </si>
  <si>
    <t>New New Business / Neukunde</t>
  </si>
  <si>
    <t>Mehrseitenpreis s/w - CHF :</t>
  </si>
  <si>
    <t>Halbjährlich</t>
  </si>
  <si>
    <t>Professional Printing - CHF 0.00</t>
  </si>
  <si>
    <t>Spezialtransport</t>
  </si>
  <si>
    <t>Vorzeitige Vertragsauflösung</t>
  </si>
  <si>
    <t>Kunde :</t>
  </si>
  <si>
    <t>Alle s/w-Seiten - CHF :</t>
  </si>
  <si>
    <t>Jährlich</t>
  </si>
  <si>
    <t>Kauf aus Miete</t>
  </si>
  <si>
    <t>COOP</t>
  </si>
  <si>
    <t>Verrechnung :</t>
  </si>
  <si>
    <t>Kauf aus Leasing</t>
  </si>
  <si>
    <t>DAL</t>
  </si>
  <si>
    <t xml:space="preserve">Standort : </t>
  </si>
  <si>
    <t>Mehrscanpreis - CHF :</t>
  </si>
  <si>
    <t>Eigenprodukt/Fremdprodukt</t>
  </si>
  <si>
    <t>Instruktion :</t>
  </si>
  <si>
    <t>Alle Scan - CHF :</t>
  </si>
  <si>
    <t>Netzwerkintegration :</t>
  </si>
  <si>
    <t>Date:</t>
  </si>
  <si>
    <t>EVAM</t>
  </si>
  <si>
    <t>Zählerversandart:</t>
  </si>
  <si>
    <t>?</t>
  </si>
  <si>
    <t>GENEVE</t>
  </si>
  <si>
    <t>GMAS</t>
  </si>
  <si>
    <t>GRAFOSA</t>
  </si>
  <si>
    <t>HOTELPLAN</t>
  </si>
  <si>
    <t>Business Type</t>
  </si>
  <si>
    <t>Fakt. Leasing</t>
  </si>
  <si>
    <t>Vertragsdetails</t>
  </si>
  <si>
    <t>Fakturierungsperiode</t>
  </si>
  <si>
    <t>KAIO</t>
  </si>
  <si>
    <t>Laufzeit</t>
  </si>
  <si>
    <t>KDMZ</t>
  </si>
  <si>
    <t>LUZERN</t>
  </si>
  <si>
    <t>Details des alten Vertrages</t>
  </si>
  <si>
    <t>Modell</t>
  </si>
  <si>
    <t>Anzahl offene Mietraten - Monate</t>
  </si>
  <si>
    <t>Serien-Nr.</t>
  </si>
  <si>
    <t>Rabattsatz</t>
  </si>
  <si>
    <t>TERTIANUM</t>
  </si>
  <si>
    <t>Vertrags-Enddatum</t>
  </si>
  <si>
    <t>Miete (pro Monat) alter Vertrag ohne Service</t>
  </si>
  <si>
    <t>TESSIN</t>
  </si>
  <si>
    <t>TRUNINGER</t>
  </si>
  <si>
    <t>Aufrechnung des alten Mietwertes</t>
  </si>
  <si>
    <t>Hardware</t>
  </si>
  <si>
    <t xml:space="preserve">Solutions -&gt; Software/Hardware </t>
  </si>
  <si>
    <t>Modell - Beschreibung / Artikel</t>
  </si>
  <si>
    <t>Listenpreis</t>
  </si>
  <si>
    <t>Kalkulationsart</t>
  </si>
  <si>
    <t>CIF</t>
  </si>
  <si>
    <t>Beschreibung</t>
  </si>
  <si>
    <t>Listenpreis / LP</t>
  </si>
  <si>
    <t>Netto VP</t>
  </si>
  <si>
    <t>Amortisation</t>
  </si>
  <si>
    <t>Total Listenpreis Software/Hardware</t>
  </si>
  <si>
    <t>Comm.Type SA</t>
  </si>
  <si>
    <t>Instruktionen: Artikel &amp; zusätzliche Aufträge</t>
  </si>
  <si>
    <t>Counter Correspondant Type</t>
  </si>
  <si>
    <t xml:space="preserve"> -</t>
  </si>
  <si>
    <t>CSRC DCA</t>
  </si>
  <si>
    <t>DCA</t>
  </si>
  <si>
    <t>CS Remote DCA Integration</t>
  </si>
  <si>
    <t>CSRCDCA</t>
  </si>
  <si>
    <t>Remote</t>
  </si>
  <si>
    <t>Total</t>
  </si>
  <si>
    <t>CSRC DCA&amp;SW</t>
  </si>
  <si>
    <t>CS Remote DCA Integration mit Software Installation</t>
  </si>
  <si>
    <t>CSRCDCA &amp; zusätzlich  Checkliste IDQM und sep. Auftrag für Software "DCASWI"</t>
  </si>
  <si>
    <t>Netto Verkaufspreis</t>
  </si>
  <si>
    <t>CSRC DCAGBS</t>
  </si>
  <si>
    <t>CS Remote DCA Integration for GBS Kunden</t>
  </si>
  <si>
    <t>CSRCDCAGBS</t>
  </si>
  <si>
    <t>Marge in % =&gt;</t>
  </si>
  <si>
    <t>CSRC FAX</t>
  </si>
  <si>
    <t>FAX</t>
  </si>
  <si>
    <t>CS Remote Fax Integration</t>
  </si>
  <si>
    <t>CSRCFAX</t>
  </si>
  <si>
    <t xml:space="preserve">Solutions -&gt;  Maintenance </t>
  </si>
  <si>
    <t>CSRC Internet HTTPS</t>
  </si>
  <si>
    <t>HTTP</t>
  </si>
  <si>
    <t>CS Remote Care Internet (https) Integration</t>
  </si>
  <si>
    <t>CSRCHTTP</t>
  </si>
  <si>
    <t>CSRC PRFL</t>
  </si>
  <si>
    <t>Pfleet</t>
  </si>
  <si>
    <t>CS Remote Print Fleet Integration</t>
  </si>
  <si>
    <t>CSRC SITA</t>
  </si>
  <si>
    <t>CS Remote Site Audit Integration</t>
  </si>
  <si>
    <t>CSRCPRFL</t>
  </si>
  <si>
    <t>CSRC GPRS</t>
  </si>
  <si>
    <t>GPRS</t>
  </si>
  <si>
    <t>CS Remote mit Modem Integration</t>
  </si>
  <si>
    <t>CSRCSITA</t>
  </si>
  <si>
    <t>Fleet TI Tool</t>
  </si>
  <si>
    <t>--</t>
  </si>
  <si>
    <t>TI Tool Fleet Management Integration</t>
  </si>
  <si>
    <t xml:space="preserve">6010 / 6020 </t>
  </si>
  <si>
    <t>Web-Portal automat.</t>
  </si>
  <si>
    <t>Fleet TI Tool &amp; SW</t>
  </si>
  <si>
    <t>TI Tool Fleet Management  Integration mit Software Installation (PM)</t>
  </si>
  <si>
    <t>6010 / 6020 &amp; zusätzlich Checkliste TI Tool und sep. Auftrag / Installadresse für Software PrintMonitor</t>
  </si>
  <si>
    <t>Maintenance in Servicepauschale</t>
  </si>
  <si>
    <t>in Verkauf/Miete</t>
  </si>
  <si>
    <t>in Mt.Pauschale</t>
  </si>
  <si>
    <t>Fleet TI Tool &amp; Plug</t>
  </si>
  <si>
    <t>TI Tool Fleet Management  Integration mit Plug2 Installation</t>
  </si>
  <si>
    <t>6010 / 6020 &amp; zusätzlich Checkliste TI Tool und sep. Auftrag / Installadresse für Plug2 "SPLUG"</t>
  </si>
  <si>
    <t>Web-Portal manually</t>
  </si>
  <si>
    <t>Zählermeldung durch Kunde via Portal</t>
  </si>
  <si>
    <t>Kontaktdaten für Zähler unbedingt eingeben: Name, Tel.-Nummer, Email</t>
  </si>
  <si>
    <t>Solution -&gt; Dienstleistungen (Consulting, Projektmanagement, Implementation, Vertiefte Instruktion)</t>
  </si>
  <si>
    <t>Anzahl / Stunde</t>
  </si>
  <si>
    <t>Preis / Stunde</t>
  </si>
  <si>
    <t>Total Dienstleistungen</t>
  </si>
  <si>
    <t>Autonomously</t>
  </si>
  <si>
    <t>Ausnahmen</t>
  </si>
  <si>
    <t>Zähler nach individuelle Vereinbarung mit dem Kunden</t>
  </si>
  <si>
    <t>Support :</t>
  </si>
  <si>
    <t>List</t>
  </si>
  <si>
    <t>Zählermeldung via Kundenliste</t>
  </si>
  <si>
    <t>Verrechnet</t>
  </si>
  <si>
    <t>Finanziert</t>
  </si>
  <si>
    <t>Marge effektiv</t>
  </si>
  <si>
    <t>Marge "alt"</t>
  </si>
  <si>
    <t>Monatliches Vertragsvolumen - s/w</t>
  </si>
  <si>
    <t>M o n a t s p a u s c h a l e n</t>
  </si>
  <si>
    <t>Total CIF</t>
  </si>
  <si>
    <t>Effektiver Seitenpreis - s/w - CHF</t>
  </si>
  <si>
    <t>SLA Type :</t>
  </si>
  <si>
    <t xml:space="preserve">Marge in % </t>
  </si>
  <si>
    <r>
      <t xml:space="preserve">Monatspauschale </t>
    </r>
    <r>
      <rPr>
        <b/>
        <sz val="10"/>
        <rFont val="Arial Narrow"/>
        <family val="2"/>
      </rPr>
      <t>- s/w</t>
    </r>
  </si>
  <si>
    <t>Grundpauschale inkl. CRSC CHF 5.00</t>
  </si>
  <si>
    <t>Restwert aus altem Vertrag</t>
  </si>
  <si>
    <t>Wartung Controller (z.B. Fiery)</t>
  </si>
  <si>
    <t>Im Vertrag eingerechnete Dienstleistungen</t>
  </si>
  <si>
    <t>Monatliches Vertragsvolumen - color</t>
  </si>
  <si>
    <t>Wartung Münzer / Kartensystem</t>
  </si>
  <si>
    <t>Vertragswert</t>
  </si>
  <si>
    <r>
      <t xml:space="preserve">Effektiver Seitenpreis - </t>
    </r>
    <r>
      <rPr>
        <b/>
        <sz val="10"/>
        <color indexed="14"/>
        <rFont val="Arial Narrow"/>
        <family val="2"/>
      </rPr>
      <t>Color - CHF</t>
    </r>
  </si>
  <si>
    <t>bizhub SECURE</t>
  </si>
  <si>
    <t>Marge in % von unten</t>
  </si>
  <si>
    <r>
      <t xml:space="preserve">Monatspauschale - </t>
    </r>
    <r>
      <rPr>
        <b/>
        <sz val="10"/>
        <color indexed="14"/>
        <rFont val="Arial Narrow"/>
        <family val="2"/>
      </rPr>
      <t>Color</t>
    </r>
  </si>
  <si>
    <t xml:space="preserve">Solutions </t>
  </si>
  <si>
    <t>Rabatt LP in % - HW</t>
  </si>
  <si>
    <t>Rabatt LP in % - SW</t>
  </si>
  <si>
    <t>Monatliches Vertragsvolumen - Scan</t>
  </si>
  <si>
    <t>Effektiver Scanpreis - CHF</t>
  </si>
  <si>
    <t>Monatspauschale - Scan</t>
  </si>
  <si>
    <t>Total Monatspauschalen</t>
  </si>
  <si>
    <t>Click Type</t>
  </si>
  <si>
    <t>T r a n s p o r t</t>
  </si>
  <si>
    <r>
      <t xml:space="preserve">Umsatz Solution für Prov. </t>
    </r>
    <r>
      <rPr>
        <b/>
        <sz val="10"/>
        <color indexed="14"/>
        <rFont val="Arial Narrow"/>
        <family val="2"/>
      </rPr>
      <t>Fakturiert</t>
    </r>
  </si>
  <si>
    <t xml:space="preserve">Rollout </t>
  </si>
  <si>
    <t>Wegpauschale - I n t e g r a t i o n - Netzwerk - Fax - Scan - LDAP</t>
  </si>
  <si>
    <r>
      <t xml:space="preserve">Umsatz Dienstleist. Prov </t>
    </r>
    <r>
      <rPr>
        <b/>
        <sz val="10"/>
        <color indexed="14"/>
        <rFont val="Arial Narrow"/>
        <family val="2"/>
      </rPr>
      <t>Fakturiert</t>
    </r>
  </si>
  <si>
    <t>Vorkonfiguration (IP)</t>
  </si>
  <si>
    <t>I n t e g r a t i o n - Netzwerk</t>
  </si>
  <si>
    <t>Umsatz Solution</t>
  </si>
  <si>
    <t>Umsatz Total</t>
  </si>
  <si>
    <t xml:space="preserve">Datenübernahme </t>
  </si>
  <si>
    <t>I n t e g r a t i o n - Fax</t>
  </si>
  <si>
    <t>Tonerbestellung Auto</t>
  </si>
  <si>
    <t>LDAP - C O N F I G U R A T I O N</t>
  </si>
  <si>
    <t>Finanzierungsfaktor</t>
  </si>
  <si>
    <t>Amort. Alter Vertrag</t>
  </si>
  <si>
    <t>Amort. Diverses</t>
  </si>
  <si>
    <t>Amort. HW</t>
  </si>
  <si>
    <t>Zinsen HW</t>
  </si>
  <si>
    <t>Amort. Sol.(SW/HW)</t>
  </si>
  <si>
    <t>Amort. Sol.(Soft Maint.)</t>
  </si>
  <si>
    <t>Amort. Sol.(Dienst.)</t>
  </si>
  <si>
    <t>Zinsen Sol.</t>
  </si>
  <si>
    <t>Total Sol</t>
  </si>
  <si>
    <t>Zinsen Sol./SW/HW</t>
  </si>
  <si>
    <t>Zinsen Sol./Maint.</t>
  </si>
  <si>
    <t>Zinsen Sol./Dienst.</t>
  </si>
  <si>
    <t>Servicepauschale pro Monat für Solution (inkl. Maintenance)</t>
  </si>
  <si>
    <t>Servicepaus. Gerät inkl.</t>
  </si>
  <si>
    <t>Anlieferungsart :</t>
  </si>
  <si>
    <t>Bemerkungen</t>
  </si>
  <si>
    <t>Fakturierung Gebühren</t>
  </si>
  <si>
    <t>Unterschrift Verkäufer:</t>
  </si>
  <si>
    <t>Unterschrift Admin:</t>
  </si>
  <si>
    <t>Unterschrift VL:</t>
  </si>
  <si>
    <t>Datum:</t>
  </si>
  <si>
    <t>MIETESOFT</t>
  </si>
  <si>
    <t>MIETESWM</t>
  </si>
  <si>
    <t>IMPLTRAI</t>
  </si>
  <si>
    <t>AUTOSTORE BASIC</t>
  </si>
  <si>
    <t>Kontakt Nr.</t>
  </si>
  <si>
    <t xml:space="preserve">  Navigationsbereich</t>
  </si>
  <si>
    <t>CONSPRES</t>
  </si>
  <si>
    <t>AVESCO EQUITRAC</t>
  </si>
  <si>
    <t xml:space="preserve">Kunden Nr. </t>
  </si>
  <si>
    <t>BLUE BASIC</t>
  </si>
  <si>
    <t>CHRONOSCAN ADV BAS +</t>
  </si>
  <si>
    <t>Offert Version N°:</t>
  </si>
  <si>
    <t>CHRONOSCAN ADV BASIC</t>
  </si>
  <si>
    <t>CHRONOSCAN ADV PREM</t>
  </si>
  <si>
    <t>CHRONOSCAN ENT BAS +</t>
  </si>
  <si>
    <t>CHRONOSCAN ENT BASIC</t>
  </si>
  <si>
    <t>Name Enduser Kontakt KUNDE mit Adresse:</t>
  </si>
  <si>
    <t>Telefon:</t>
  </si>
  <si>
    <t>CHRONOSCAN ENT PREM</t>
  </si>
  <si>
    <t>Email-Adresse:</t>
  </si>
  <si>
    <t>Mobile:</t>
  </si>
  <si>
    <t>CON.2 PDF BASIC</t>
  </si>
  <si>
    <t>Consultant - GRAPHAX</t>
  </si>
  <si>
    <t>CON.2 PDF BASIC PLUS</t>
  </si>
  <si>
    <r>
      <t xml:space="preserve">Projekt mit folgendem Techniker vorbesprochen:
</t>
    </r>
    <r>
      <rPr>
        <sz val="10"/>
        <rFont val="Arial"/>
        <family val="2"/>
      </rPr>
      <t>(-&gt; Falls keine Angabe, Disposition durch GSC)</t>
    </r>
    <r>
      <rPr>
        <b/>
        <sz val="10"/>
        <rFont val="Arial"/>
        <family val="2"/>
      </rPr>
      <t>:</t>
    </r>
  </si>
  <si>
    <t>Wunsch Installationsdatum:</t>
  </si>
  <si>
    <t>CON.2 PDF PREMIUM</t>
  </si>
  <si>
    <t>DISPATCHER PHOENIX</t>
  </si>
  <si>
    <t>Link Ablage Lösungsbeschreibung</t>
  </si>
  <si>
    <t>EOP BASIC</t>
  </si>
  <si>
    <t>EPPO BASIC</t>
  </si>
  <si>
    <t>EQUITRAC BASIC</t>
  </si>
  <si>
    <t>GDX (ECM/DMS)</t>
  </si>
  <si>
    <t>Solution -&gt; Software-Lizenzen / Hardware</t>
  </si>
  <si>
    <t>INEPRO BASIC</t>
  </si>
  <si>
    <t>Anzahl</t>
  </si>
  <si>
    <t>Art.-Nr.</t>
  </si>
  <si>
    <t>Bezeichnung</t>
  </si>
  <si>
    <t>Listenpreis pro Artikel</t>
  </si>
  <si>
    <t xml:space="preserve">Total Listenpreis </t>
  </si>
  <si>
    <t>Kalkulations-art</t>
  </si>
  <si>
    <t>Netto Preis</t>
  </si>
  <si>
    <t>Function Code</t>
  </si>
  <si>
    <t>ITS SERVER ONLY</t>
  </si>
  <si>
    <t>ITSBASIC</t>
  </si>
  <si>
    <t>ITSBASIC+</t>
  </si>
  <si>
    <t>ITSPREMIUM</t>
  </si>
  <si>
    <t>ITSPREMIUM_PLUS</t>
  </si>
  <si>
    <t>KANTON AARGAU SW</t>
  </si>
  <si>
    <t>PFISTER SW</t>
  </si>
  <si>
    <t>PHOENIX SW</t>
  </si>
  <si>
    <t>POLYRIGHT POS</t>
  </si>
  <si>
    <t>POLYRIGHT PREMIUM</t>
  </si>
  <si>
    <t>POLYRIGHT STANDARD</t>
  </si>
  <si>
    <t>PP SW BASIC</t>
  </si>
  <si>
    <t>PSES BASIC</t>
  </si>
  <si>
    <t>SAFEQ BASIC</t>
  </si>
  <si>
    <t>SAFEQ EXTENDEND KM</t>
  </si>
  <si>
    <t>SAFEQ GOLD</t>
  </si>
  <si>
    <t>SAFEQ MAINTENANCE KM</t>
  </si>
  <si>
    <t>SAFEQ PLATINUM</t>
  </si>
  <si>
    <t>SAFEQ PREMIUM KM</t>
  </si>
  <si>
    <t>Total Software (Beiblatt Solutions)</t>
  </si>
  <si>
    <t>SAFEQ SILVER</t>
  </si>
  <si>
    <t>SAFEQ STANDARD KM</t>
  </si>
  <si>
    <t>Solution -&gt;  Maintenance</t>
  </si>
  <si>
    <t>UNITY BASIC</t>
  </si>
  <si>
    <t>Total Maintenance (Beiblatt Solutions)</t>
  </si>
  <si>
    <t>Solution -&gt;  Dienstleistungen (Consulting, Projektmanagement, Implementation)</t>
  </si>
  <si>
    <t xml:space="preserve">Total Dienstleistungen (Beiblatt Solutions)  </t>
  </si>
  <si>
    <t>Jobs-Nr.</t>
  </si>
  <si>
    <t>Unterschrift Consultant:</t>
  </si>
  <si>
    <t>Unterschrift CC:</t>
  </si>
  <si>
    <t>Pflicht, falls Lösungsbeschreibung vorliegt</t>
  </si>
  <si>
    <t>Kalkulationsfaktoren für ZKB-Leasing</t>
  </si>
  <si>
    <t>Navigationsbereich</t>
  </si>
  <si>
    <t>Quartal</t>
  </si>
  <si>
    <t xml:space="preserve">Wert </t>
  </si>
  <si>
    <t>Ab 2'000</t>
  </si>
  <si>
    <t>Ab 10'000</t>
  </si>
  <si>
    <t>Ab 20'000</t>
  </si>
  <si>
    <t>Ab 30'000</t>
  </si>
  <si>
    <t>Ab 50'000</t>
  </si>
  <si>
    <t>Ab 100'000</t>
  </si>
  <si>
    <t xml:space="preserve">Valeur </t>
  </si>
  <si>
    <t>Bei Beendigung des Leasingvertrags geht das Leasingobjekt an den Lieferanten Graphax AG zurück.</t>
  </si>
  <si>
    <t>Bearbeitungsgebühr:</t>
  </si>
  <si>
    <t>Nachfolgende Bearbeitungsgebühr wird dem Leasingnehmer mit der 1. Leasing-Rate verrechnet (exkl. MWSt)</t>
  </si>
  <si>
    <t>Pro Memoria:</t>
  </si>
  <si>
    <t>Ein Leasingvertrag setzt in jedem Fall eine Bonitätsabklärung seitens Leasinggeber voraus.</t>
  </si>
  <si>
    <t>Die Abklärungen durch die Leasingfirma ist frühzeitig einzuleiten.</t>
  </si>
  <si>
    <t>Beispiel für die Berechnung einer Leasingzahlung</t>
  </si>
  <si>
    <t>KM bizhub C280</t>
  </si>
  <si>
    <t>./. 10% Rabatt</t>
  </si>
  <si>
    <t>48 Monate (Quartal)</t>
  </si>
  <si>
    <t>Graphax AG - Private Data</t>
  </si>
  <si>
    <t>Seite 1 von 1</t>
  </si>
  <si>
    <t>Kalkulationsfaktoren für Graphax Miete</t>
  </si>
  <si>
    <t>Ab 250'000</t>
  </si>
  <si>
    <t>Bei der Miete wird keine Amortisation berechnet</t>
  </si>
  <si>
    <t>Möchte ein Kunde sein Mietgerät aus einem laufenden Mietvertrag käuflich erwerben nehmen Sie bitte das Verkaufsreglement Pkt. 5.5 zur Hilfe.</t>
  </si>
  <si>
    <t>Die Bearbeitungsgebühr wird dem Vertragsnehmer verrechnet</t>
  </si>
  <si>
    <t>Kostenlos</t>
  </si>
  <si>
    <t>Beispiel zur Berechnung der monatlichen Mietrate</t>
  </si>
  <si>
    <t>./. 5 % Rabatt</t>
  </si>
  <si>
    <t>Miete 48 Monate</t>
  </si>
  <si>
    <t>Service Grundpauschale</t>
  </si>
  <si>
    <t>1'000 Seiten à 15 Rp.</t>
  </si>
  <si>
    <t>Monatliche Mietrate inkl. 1'000 Seiten</t>
  </si>
  <si>
    <t>Berechnung bei käuflicher Übernahme eines Mietgegenstandes</t>
  </si>
  <si>
    <t>Miervertrag für bizhub C360</t>
  </si>
  <si>
    <t>bereits bezahlte Mietraten</t>
  </si>
  <si>
    <t>ausstehende Mietraten</t>
  </si>
  <si>
    <t>5% von Netto Verkaufspreis</t>
  </si>
  <si>
    <t>Totalbetrag bei Übernahme</t>
  </si>
  <si>
    <t>Marketing</t>
  </si>
  <si>
    <t>AMRABATT</t>
  </si>
  <si>
    <t>AMTAI</t>
  </si>
  <si>
    <t>ANLIKER</t>
  </si>
  <si>
    <t>BALGRIST</t>
  </si>
  <si>
    <t>BELLINZONA</t>
  </si>
  <si>
    <t>BJB</t>
  </si>
  <si>
    <t>BURGDORF</t>
  </si>
  <si>
    <t>CADES</t>
  </si>
  <si>
    <t>CAJU</t>
  </si>
  <si>
    <t>CHANNEL GRAPHAX</t>
  </si>
  <si>
    <t>CX PRINT</t>
  </si>
  <si>
    <t>CX2526</t>
  </si>
  <si>
    <t>DERTOUR</t>
  </si>
  <si>
    <t>EKZ</t>
  </si>
  <si>
    <t>EMIL FREY AG</t>
  </si>
  <si>
    <t>ERNE</t>
  </si>
  <si>
    <t>GHG</t>
  </si>
  <si>
    <t>GPH15A25_15M</t>
  </si>
  <si>
    <t>HEILSARMEE</t>
  </si>
  <si>
    <t>HOSPICE GÉNÉRAL</t>
  </si>
  <si>
    <t>ISAB</t>
  </si>
  <si>
    <t>KALAIDOS</t>
  </si>
  <si>
    <t>KASG</t>
  </si>
  <si>
    <t>KIBAG</t>
  </si>
  <si>
    <t>KSGR_WIELAND</t>
  </si>
  <si>
    <t>MAS</t>
  </si>
  <si>
    <t>MASC360IFY20</t>
  </si>
  <si>
    <t>PFISTER</t>
  </si>
  <si>
    <t>POENINA</t>
  </si>
  <si>
    <t>PPIPS</t>
  </si>
  <si>
    <t>PSAG_GOSSAU</t>
  </si>
  <si>
    <t>PUBLIC SECTOR</t>
  </si>
  <si>
    <t>SCHENKER</t>
  </si>
  <si>
    <t>SPIEZ</t>
  </si>
  <si>
    <t>SPSH</t>
  </si>
  <si>
    <t>USTER</t>
  </si>
  <si>
    <t>WEIDMANN</t>
  </si>
  <si>
    <t>CONFIG1C251I</t>
  </si>
  <si>
    <t>CONFIG2C251IFS</t>
  </si>
  <si>
    <t>CONFIG3C451I</t>
  </si>
  <si>
    <t>CONFIG4C3351I</t>
  </si>
  <si>
    <t>Version: Q4 2025 rev. 1</t>
  </si>
  <si>
    <t>Offert Version:</t>
  </si>
  <si>
    <t>V-</t>
  </si>
  <si>
    <t>Verkaufschance Nr.</t>
  </si>
  <si>
    <t>Marge Total für Prov.</t>
  </si>
  <si>
    <t>Direktlieferung Lizenzen an (z.B. Kunde)</t>
  </si>
  <si>
    <t>Gültig ab 09.09.2026</t>
  </si>
  <si>
    <t>letzte Aktualisierung: 09.09.2026</t>
  </si>
  <si>
    <t>Faktor offen – noch zu definieren</t>
  </si>
  <si>
    <t>12 Monate - Verlängerung</t>
  </si>
  <si>
    <t>Konica Minolta bizhub C360i</t>
  </si>
  <si>
    <t>lstJaNein</t>
  </si>
  <si>
    <t>lstFaktLeasing</t>
  </si>
  <si>
    <t>lstFakturierung</t>
  </si>
  <si>
    <t>lstLaufzeit</t>
  </si>
  <si>
    <t>lstKalkHW</t>
  </si>
  <si>
    <t>lstKalkSW</t>
  </si>
  <si>
    <t>lstClickType</t>
  </si>
  <si>
    <t>lstSLA</t>
  </si>
  <si>
    <t>lstFleet</t>
  </si>
  <si>
    <t>lstBusinessType</t>
  </si>
  <si>
    <t>lstVertragsart</t>
  </si>
  <si>
    <t>lstAnlieferung</t>
  </si>
  <si>
    <t>lstFaktGebuehren</t>
  </si>
  <si>
    <t>lstMehrseitenColor</t>
  </si>
  <si>
    <t>lstMehrseitenSW</t>
  </si>
  <si>
    <t>lstMehrscan</t>
  </si>
  <si>
    <t>lstFCSoftware</t>
  </si>
  <si>
    <t>lstFCMaintenance</t>
  </si>
  <si>
    <t>lstFCProjekt</t>
  </si>
  <si>
    <t>lstLabelPauschale</t>
  </si>
  <si>
    <t>lstLabelKontakt</t>
  </si>
  <si>
    <t>lstSupportType</t>
  </si>
  <si>
    <t>lstSLAType</t>
  </si>
  <si>
    <t>Zählerversandart (tblZaehler)</t>
  </si>
  <si>
    <t>Total Verkaufspreis</t>
  </si>
  <si>
    <t>Kontaktdaten:</t>
  </si>
  <si>
    <t>Mietpauschale pro Monat (ohne Service)</t>
  </si>
  <si>
    <t>Name?</t>
  </si>
  <si>
    <t>Leasingpauschale pro Monat (ohne Service)</t>
  </si>
  <si>
    <t>Telefon?</t>
  </si>
  <si>
    <t>Monatspauschale Total</t>
  </si>
  <si>
    <t>Email?</t>
  </si>
  <si>
    <t>SiteAudit</t>
  </si>
  <si>
    <t>CSRCGPRS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</si>
</sst>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2" formatCode="_ &quot;CHF&quot;\ * #,##0_ ;_ &quot;CHF&quot;\ * \-#,##0_ ;_ &quot;CHF&quot;\ * &quot;-&quot;_ ;_ @_ "/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&quot;Segment 4&quot;\ #,##0"/>
    <numFmt numFmtId="165" formatCode="_ [$€-2]\ * #,##0.00_ ;_ [$€-2]\ * \-#,##0.00_ ;_ [$€-2]\ * &quot;-&quot;??_ "/>
    <numFmt numFmtId="166" formatCode="0.000%"/>
    <numFmt numFmtId="167" formatCode="_ &quot;CHF&quot;\ * #,##0.00_ ;_ &quot;CHF&quot;\ * \-#,##0.00_ ;_ &quot;CHF&quot;\ * &quot;-&quot;_ ;_ @_ "/>
    <numFmt numFmtId="168" formatCode="0\ &quot;Mois&quot;"/>
    <numFmt numFmtId="169" formatCode="#,##0\ &quot;Mois&quot;"/>
    <numFmt numFmtId="170" formatCode="#,##0.000"/>
    <numFmt numFmtId="171" formatCode="0.0000%"/>
    <numFmt numFmtId="172" formatCode="_(* #,##0.00_);_(* \(#,##0.00\);_(* &quot;-&quot;??_);_(@_)"/>
    <numFmt numFmtId="173" formatCode="&quot;Version:&quot;\ #,##0.0\ \-\200\9"/>
    <numFmt numFmtId="174" formatCode="&quot;Version:&quot;\ #,##0.0\ \-\ \20\10"/>
    <numFmt numFmtId="175" formatCode="&quot;Modifié le:&quot;\ dd/mm/yyyy"/>
    <numFmt numFmtId="176" formatCode="&quot;Valable dès:&quot;\ dd/mm/yyyy"/>
    <numFmt numFmtId="177" formatCode="&quot;CHF&quot;\ \-0.00"/>
    <numFmt numFmtId="178" formatCode="_ * #,##0.00000_ ;_ * \-#,##0.00000_ ;_ * &quot;-&quot;??_ ;_ @_ "/>
    <numFmt numFmtId="179" formatCode="&quot;Leasing&quot;\ 0.0000%"/>
    <numFmt numFmtId="180" formatCode="&quot;CIF&quot;\ 0.0000"/>
    <numFmt numFmtId="181" formatCode="&quot;Printer/Fax&quot;\ 0.0000"/>
    <numFmt numFmtId="182" formatCode="&quot;Conso/VM&quot;\ 0.0000"/>
    <numFmt numFmtId="183" formatCode="0.0000"/>
    <numFmt numFmtId="184" formatCode="#,##0.00000"/>
    <numFmt numFmtId="185" formatCode="&quot;MFP/PP HW&quot;\ 0.0000"/>
    <numFmt numFmtId="186" formatCode="0\ &quot;Monate&quot;"/>
    <numFmt numFmtId="187" formatCode="#,##0\ &quot;Monate&quot;"/>
    <numFmt numFmtId="188" formatCode="&quot;Gültig ab:&quot;\ dd/mm/yyyy"/>
    <numFmt numFmtId="189" formatCode="&quot;Geändert am:&quot;\ dd/mm/yyyy"/>
    <numFmt numFmtId="190" formatCode="#,##0\ &quot;Color&quot;"/>
    <numFmt numFmtId="191" formatCode="#,##0\ &quot;s/w&quot;"/>
    <numFmt numFmtId="192" formatCode="[$-100C]d/\ mmmm\ yyyy;@"/>
    <numFmt numFmtId="193" formatCode="[$CHF]\ #,##0.00"/>
    <numFmt numFmtId="194" formatCode="0.000000%"/>
    <numFmt numFmtId="195" formatCode="&quot;en %&quot;\ \ \ \ \ \ \ \ 0.00%"/>
    <numFmt numFmtId="196" formatCode="&quot;en CHF&quot;\ \ \ \ \ #,##0.00"/>
    <numFmt numFmtId="197" formatCode="&quot;Version:&quot;\ #,##0.00\ \-\ \20\1\4"/>
    <numFmt numFmtId="198" formatCode="&quot;Version:&quot;\ #,##0.00\ \-\ \20\1\7"/>
    <numFmt numFmtId="199" formatCode="&quot;Version:&quot;\ #,##0.00\ \-\ \20\20"/>
    <numFmt numFmtId="200" formatCode="dd/mm/yyyy;@"/>
    <numFmt numFmtId="201" formatCode="&quot;CIF Price&quot;"/>
    <numFmt numFmtId="202" formatCode="&quot;Consumables&quot;"/>
    <numFmt numFmtId="203" formatCode="&quot;LP old 65%&quot;"/>
    <numFmt numFmtId="204" formatCode="#,##0.0000"/>
    <numFmt numFmtId="205" formatCode="&quot;Marge:&quot;\ \ 0.00"/>
    <numFmt numFmtId="206" formatCode="0.0%"/>
    <numFmt numFmtId="207" formatCode="&quot;LP Hardware OFFICE &amp; PP&quot;"/>
    <numFmt numFmtId="208" formatCode="&quot;Solution CIF&quot;"/>
    <numFmt numFmtId="209" formatCode="&quot;Solution A+B&quot;"/>
    <numFmt numFmtId="210" formatCode="&quot;Solution IPA&quot;"/>
    <numFmt numFmtId="211" formatCode="s\L\A"/>
    <numFmt numFmtId="212" formatCode="&quot;Basic - CHF 0.00&quot;"/>
    <numFmt numFmtId="213" formatCode="&quot;AS 8 Termbased&quot;"/>
  </numFmts>
  <fonts count="9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color indexed="81"/>
      <name val="Tahoma"/>
      <family val="2"/>
    </font>
    <font>
      <sz val="7"/>
      <name val="Arial"/>
      <family val="2"/>
    </font>
    <font>
      <sz val="12"/>
      <name val="Arial"/>
      <family val="2"/>
    </font>
    <font>
      <b/>
      <sz val="10"/>
      <color indexed="9"/>
      <name val="Arial Narrow"/>
      <family val="2"/>
    </font>
    <font>
      <b/>
      <sz val="16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b/>
      <sz val="13"/>
      <color indexed="9"/>
      <name val="Arial Narrow"/>
      <family val="2"/>
    </font>
    <font>
      <sz val="13"/>
      <name val="Arial Narrow"/>
      <family val="2"/>
    </font>
    <font>
      <b/>
      <u/>
      <sz val="16"/>
      <name val="Arial Narrow"/>
      <family val="2"/>
    </font>
    <font>
      <b/>
      <sz val="10"/>
      <color indexed="12"/>
      <name val="Tahoma"/>
      <family val="2"/>
    </font>
    <font>
      <b/>
      <sz val="10"/>
      <color indexed="14"/>
      <name val="Arial Narrow"/>
      <family val="2"/>
    </font>
    <font>
      <b/>
      <sz val="22"/>
      <color indexed="10"/>
      <name val="Arial Narrow"/>
      <family val="2"/>
    </font>
    <font>
      <b/>
      <sz val="10"/>
      <color indexed="18"/>
      <name val="Tahoma"/>
      <family val="2"/>
    </font>
    <font>
      <sz val="10"/>
      <color indexed="9"/>
      <name val="Arial Narrow"/>
      <family val="2"/>
    </font>
    <font>
      <b/>
      <sz val="10"/>
      <color indexed="12"/>
      <name val="Arial Narrow"/>
      <family val="2"/>
    </font>
    <font>
      <b/>
      <sz val="11"/>
      <color indexed="9"/>
      <name val="Arial Narrow"/>
      <family val="2"/>
    </font>
    <font>
      <b/>
      <sz val="10"/>
      <color indexed="57"/>
      <name val="Arial Narrow"/>
      <family val="2"/>
    </font>
    <font>
      <sz val="8"/>
      <color indexed="81"/>
      <name val="Tahoma"/>
      <family val="2"/>
    </font>
    <font>
      <sz val="10"/>
      <color indexed="12"/>
      <name val="Arial Narrow"/>
      <family val="2"/>
    </font>
    <font>
      <b/>
      <sz val="10"/>
      <color indexed="10"/>
      <name val="Arial Narrow"/>
      <family val="2"/>
    </font>
    <font>
      <b/>
      <sz val="10"/>
      <color indexed="26"/>
      <name val="Arial Narrow"/>
      <family val="2"/>
    </font>
    <font>
      <sz val="10"/>
      <color indexed="26"/>
      <name val="Arial Narrow"/>
      <family val="2"/>
    </font>
    <font>
      <sz val="10"/>
      <color indexed="31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14"/>
      <name val="Arial Narrow"/>
      <family val="2"/>
    </font>
    <font>
      <sz val="10"/>
      <color indexed="11"/>
      <name val="Arial Black"/>
      <family val="2"/>
    </font>
    <font>
      <b/>
      <sz val="12"/>
      <color indexed="12"/>
      <name val="Arial Narrow"/>
      <family val="2"/>
    </font>
    <font>
      <b/>
      <sz val="11"/>
      <color indexed="13"/>
      <name val="Arial Narrow"/>
      <family val="2"/>
    </font>
    <font>
      <sz val="10"/>
      <color indexed="9"/>
      <name val="Arial Black"/>
      <family val="2"/>
    </font>
    <font>
      <b/>
      <sz val="12"/>
      <color indexed="14"/>
      <name val="Arial"/>
      <family val="2"/>
    </font>
    <font>
      <b/>
      <sz val="10"/>
      <color indexed="53"/>
      <name val="Arial Narrow"/>
      <family val="2"/>
    </font>
    <font>
      <b/>
      <sz val="14"/>
      <color indexed="13"/>
      <name val="Arial Narrow"/>
      <family val="2"/>
    </font>
    <font>
      <sz val="14"/>
      <color indexed="9"/>
      <name val="Arial Narrow"/>
      <family val="2"/>
    </font>
    <font>
      <b/>
      <sz val="11"/>
      <color indexed="12"/>
      <name val="Arial Narrow"/>
      <family val="2"/>
    </font>
    <font>
      <b/>
      <sz val="14"/>
      <color indexed="14"/>
      <name val="Arial Narrow"/>
      <family val="2"/>
    </font>
    <font>
      <b/>
      <sz val="14"/>
      <color indexed="9"/>
      <name val="Arial Narrow"/>
      <family val="2"/>
    </font>
    <font>
      <b/>
      <sz val="9"/>
      <color indexed="81"/>
      <name val="Tahoma"/>
      <family val="2"/>
    </font>
    <font>
      <b/>
      <sz val="9"/>
      <color indexed="14"/>
      <name val="Tahoma"/>
      <family val="2"/>
    </font>
    <font>
      <b/>
      <sz val="12"/>
      <color rgb="FF0000FF"/>
      <name val="Arial Narrow"/>
      <family val="2"/>
    </font>
    <font>
      <sz val="10"/>
      <color rgb="FFFFFFCC"/>
      <name val="Arial Narrow"/>
      <family val="2"/>
    </font>
    <font>
      <b/>
      <sz val="10"/>
      <color rgb="FF0000FF"/>
      <name val="Arial Narrow"/>
      <family val="2"/>
    </font>
    <font>
      <b/>
      <sz val="11"/>
      <name val="Arial Narrow"/>
      <family val="2"/>
    </font>
    <font>
      <sz val="10"/>
      <color rgb="FF0000FF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theme="9" tint="-0.249977111117893"/>
      <name val="Arial Narrow"/>
      <family val="2"/>
    </font>
    <font>
      <b/>
      <sz val="10"/>
      <color rgb="FF7030A0"/>
      <name val="Arial Narrow"/>
      <family val="2"/>
    </font>
    <font>
      <b/>
      <sz val="10"/>
      <color rgb="FF006C31"/>
      <name val="Arial Narrow"/>
      <family val="2"/>
    </font>
    <font>
      <sz val="10"/>
      <color theme="0"/>
      <name val="Arial"/>
      <family val="2"/>
    </font>
    <font>
      <b/>
      <sz val="10"/>
      <color rgb="FFFFFFCC"/>
      <name val="Arial Narrow"/>
      <family val="2"/>
    </font>
    <font>
      <sz val="10"/>
      <color rgb="FFCCCCFF"/>
      <name val="Arial Narrow"/>
      <family val="2"/>
    </font>
    <font>
      <b/>
      <i/>
      <sz val="10"/>
      <color theme="0"/>
      <name val="Arial Narrow"/>
      <family val="2"/>
    </font>
    <font>
      <i/>
      <sz val="10"/>
      <color theme="0"/>
      <name val="Arial Narrow"/>
      <family val="2"/>
    </font>
    <font>
      <b/>
      <i/>
      <sz val="10"/>
      <color rgb="FFFFFFCC"/>
      <name val="Arial Narrow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2"/>
      <color theme="1"/>
      <name val="Arial"/>
      <family val="2"/>
    </font>
    <font>
      <sz val="12"/>
      <color rgb="FF0000FF"/>
      <name val="Arial"/>
      <family val="2"/>
    </font>
    <font>
      <sz val="12"/>
      <color indexed="8"/>
      <name val="Arial"/>
      <family val="2"/>
    </font>
    <font>
      <b/>
      <sz val="12"/>
      <color rgb="FF0000FF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0"/>
      <color indexed="14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name val="Calibri"/>
      <family val="2"/>
    </font>
    <font>
      <u/>
      <sz val="10"/>
      <name val="Arial Narrow"/>
      <family val="2"/>
    </font>
    <font>
      <sz val="9"/>
      <color indexed="81"/>
      <name val="Segoe UI"/>
      <family val="2"/>
    </font>
    <font>
      <b/>
      <sz val="9"/>
      <color indexed="10"/>
      <name val="Tahoma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4"/>
      <color theme="0"/>
      <name val="Arial"/>
      <family val="2"/>
    </font>
    <font>
      <b/>
      <sz val="14"/>
      <color indexed="13"/>
      <name val="Arial"/>
      <family val="2"/>
    </font>
    <font>
      <b/>
      <sz val="14"/>
      <color indexed="14"/>
      <name val="Arial"/>
      <family val="2"/>
    </font>
    <font>
      <b/>
      <sz val="14"/>
      <color rgb="FFFFFF00"/>
      <name val="Arial"/>
      <family val="2"/>
    </font>
    <font>
      <sz val="10"/>
      <color indexed="12"/>
      <name val="Arial"/>
      <family val="2"/>
    </font>
    <font>
      <sz val="11"/>
      <color rgb="FF0000FF"/>
      <name val="Arial"/>
      <family val="2"/>
    </font>
    <font>
      <b/>
      <sz val="10"/>
      <color rgb="FF0000FF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sz val="10"/>
      <color indexed="11"/>
      <name val="Arial"/>
      <family val="2"/>
    </font>
    <font>
      <sz val="8"/>
      <name val="Arial"/>
      <family val="2"/>
    </font>
    <font>
      <b/>
      <sz val="11"/>
      <color indexed="9"/>
      <name val="Arial"/>
      <family val="2"/>
    </font>
    <font>
      <sz val="9"/>
      <name val="Arial"/>
      <family val="2"/>
    </font>
    <font>
      <u/>
      <sz val="11"/>
      <color rgb="FFCCCC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165" fontId="2" fillId="0" borderId="0" applyFont="0" applyFill="0" applyBorder="0" applyAlignment="0" applyProtection="0"/>
    <xf numFmtId="3" fontId="6" fillId="2" borderId="1">
      <alignment vertical="center"/>
      <protection locked="0"/>
    </xf>
    <xf numFmtId="3" fontId="6" fillId="3" borderId="1">
      <alignment vertical="center"/>
      <protection locked="0"/>
    </xf>
    <xf numFmtId="43" fontId="2" fillId="0" borderId="0" applyFont="0" applyFill="0" applyBorder="0" applyAlignment="0" applyProtection="0"/>
    <xf numFmtId="9" fontId="7" fillId="0" borderId="0"/>
    <xf numFmtId="9" fontId="2" fillId="0" borderId="0" applyFont="0" applyFill="0" applyBorder="0" applyAlignment="0" applyProtection="0"/>
    <xf numFmtId="0" fontId="7" fillId="0" borderId="0"/>
    <xf numFmtId="0" fontId="2" fillId="0" borderId="0"/>
    <xf numFmtId="0" fontId="68" fillId="0" borderId="0" applyNumberFormat="0" applyFill="0" applyBorder="0" applyAlignment="0" applyProtection="0"/>
  </cellStyleXfs>
  <cellXfs count="856">
    <xf numFmtId="0" fontId="0" fillId="0" borderId="0" xfId="0"/>
    <xf numFmtId="0" fontId="4" fillId="0" borderId="0" xfId="0" applyFont="1"/>
    <xf numFmtId="0" fontId="12" fillId="4" borderId="2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3" xfId="0" applyFont="1" applyBorder="1"/>
    <xf numFmtId="0" fontId="4" fillId="0" borderId="1" xfId="0" applyFont="1" applyBorder="1"/>
    <xf numFmtId="0" fontId="3" fillId="0" borderId="0" xfId="0" applyFont="1"/>
    <xf numFmtId="167" fontId="3" fillId="0" borderId="0" xfId="0" applyNumberFormat="1" applyFont="1"/>
    <xf numFmtId="0" fontId="3" fillId="5" borderId="0" xfId="0" applyFont="1" applyFill="1"/>
    <xf numFmtId="0" fontId="4" fillId="0" borderId="10" xfId="0" applyFont="1" applyBorder="1"/>
    <xf numFmtId="0" fontId="10" fillId="0" borderId="10" xfId="0" applyFont="1" applyBorder="1"/>
    <xf numFmtId="44" fontId="4" fillId="0" borderId="0" xfId="0" applyNumberFormat="1" applyFont="1"/>
    <xf numFmtId="44" fontId="3" fillId="5" borderId="0" xfId="0" applyNumberFormat="1" applyFont="1" applyFill="1"/>
    <xf numFmtId="44" fontId="3" fillId="0" borderId="0" xfId="0" applyNumberFormat="1" applyFont="1"/>
    <xf numFmtId="42" fontId="3" fillId="0" borderId="0" xfId="4" applyNumberFormat="1" applyFont="1" applyBorder="1"/>
    <xf numFmtId="42" fontId="4" fillId="0" borderId="0" xfId="4" applyNumberFormat="1" applyFont="1" applyBorder="1"/>
    <xf numFmtId="168" fontId="12" fillId="4" borderId="11" xfId="0" applyNumberFormat="1" applyFont="1" applyFill="1" applyBorder="1" applyAlignment="1">
      <alignment horizontal="center" vertical="center" wrapText="1"/>
    </xf>
    <xf numFmtId="168" fontId="12" fillId="4" borderId="12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left"/>
    </xf>
    <xf numFmtId="166" fontId="1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0" fontId="4" fillId="0" borderId="0" xfId="0" applyNumberFormat="1" applyFont="1"/>
    <xf numFmtId="174" fontId="3" fillId="0" borderId="0" xfId="0" applyNumberFormat="1" applyFont="1" applyAlignment="1">
      <alignment vertical="center"/>
    </xf>
    <xf numFmtId="171" fontId="3" fillId="5" borderId="0" xfId="0" applyNumberFormat="1" applyFont="1" applyFill="1" applyAlignment="1">
      <alignment horizontal="center"/>
    </xf>
    <xf numFmtId="166" fontId="19" fillId="0" borderId="0" xfId="6" applyNumberFormat="1" applyFont="1" applyBorder="1"/>
    <xf numFmtId="171" fontId="13" fillId="0" borderId="14" xfId="0" applyNumberFormat="1" applyFont="1" applyBorder="1"/>
    <xf numFmtId="171" fontId="13" fillId="0" borderId="15" xfId="0" applyNumberFormat="1" applyFont="1" applyBorder="1"/>
    <xf numFmtId="171" fontId="13" fillId="0" borderId="16" xfId="0" applyNumberFormat="1" applyFont="1" applyBorder="1"/>
    <xf numFmtId="171" fontId="13" fillId="0" borderId="17" xfId="0" applyNumberFormat="1" applyFont="1" applyBorder="1"/>
    <xf numFmtId="171" fontId="13" fillId="0" borderId="18" xfId="0" applyNumberFormat="1" applyFont="1" applyBorder="1"/>
    <xf numFmtId="171" fontId="13" fillId="0" borderId="19" xfId="0" applyNumberFormat="1" applyFont="1" applyBorder="1"/>
    <xf numFmtId="175" fontId="3" fillId="0" borderId="6" xfId="0" applyNumberFormat="1" applyFont="1" applyBorder="1"/>
    <xf numFmtId="4" fontId="3" fillId="0" borderId="0" xfId="0" applyNumberFormat="1" applyFont="1" applyAlignment="1" applyProtection="1">
      <alignment horizontal="center" vertical="center"/>
      <protection hidden="1"/>
    </xf>
    <xf numFmtId="176" fontId="3" fillId="0" borderId="0" xfId="0" applyNumberFormat="1" applyFont="1" applyAlignment="1">
      <alignment horizontal="left"/>
    </xf>
    <xf numFmtId="4" fontId="3" fillId="6" borderId="3" xfId="0" applyNumberFormat="1" applyFont="1" applyFill="1" applyBorder="1" applyAlignment="1" applyProtection="1">
      <alignment horizontal="center" vertical="center"/>
      <protection hidden="1"/>
    </xf>
    <xf numFmtId="4" fontId="3" fillId="7" borderId="0" xfId="0" applyNumberFormat="1" applyFont="1" applyFill="1" applyAlignment="1" applyProtection="1">
      <alignment horizontal="center" vertical="center"/>
      <protection hidden="1"/>
    </xf>
    <xf numFmtId="0" fontId="20" fillId="7" borderId="0" xfId="0" applyFont="1" applyFill="1" applyAlignment="1" applyProtection="1">
      <alignment horizontal="right" vertical="center" wrapText="1"/>
      <protection hidden="1"/>
    </xf>
    <xf numFmtId="43" fontId="20" fillId="8" borderId="21" xfId="4" applyFont="1" applyFill="1" applyBorder="1" applyAlignment="1" applyProtection="1">
      <alignment vertical="center"/>
      <protection locked="0"/>
    </xf>
    <xf numFmtId="43" fontId="16" fillId="8" borderId="22" xfId="4" applyFont="1" applyFill="1" applyBorder="1" applyAlignment="1" applyProtection="1">
      <alignment vertical="center"/>
      <protection locked="0"/>
    </xf>
    <xf numFmtId="43" fontId="3" fillId="0" borderId="23" xfId="4" applyFont="1" applyFill="1" applyBorder="1" applyAlignment="1" applyProtection="1">
      <alignment vertical="center"/>
      <protection hidden="1"/>
    </xf>
    <xf numFmtId="43" fontId="3" fillId="7" borderId="24" xfId="4" applyFont="1" applyFill="1" applyBorder="1" applyAlignment="1" applyProtection="1">
      <alignment vertical="center"/>
      <protection hidden="1"/>
    </xf>
    <xf numFmtId="0" fontId="3" fillId="7" borderId="25" xfId="0" applyFont="1" applyFill="1" applyBorder="1" applyAlignment="1" applyProtection="1">
      <alignment vertical="center"/>
      <protection hidden="1"/>
    </xf>
    <xf numFmtId="0" fontId="3" fillId="7" borderId="25" xfId="0" applyFont="1" applyFill="1" applyBorder="1" applyAlignment="1" applyProtection="1">
      <alignment horizontal="right" vertical="center"/>
      <protection hidden="1"/>
    </xf>
    <xf numFmtId="0" fontId="16" fillId="7" borderId="26" xfId="0" applyFont="1" applyFill="1" applyBorder="1" applyAlignment="1" applyProtection="1">
      <alignment horizontal="right" vertical="center" wrapText="1"/>
      <protection hidden="1"/>
    </xf>
    <xf numFmtId="4" fontId="3" fillId="6" borderId="27" xfId="0" applyNumberFormat="1" applyFont="1" applyFill="1" applyBorder="1" applyAlignment="1" applyProtection="1">
      <alignment horizontal="center" vertical="center"/>
      <protection hidden="1"/>
    </xf>
    <xf numFmtId="43" fontId="3" fillId="9" borderId="28" xfId="4" applyFont="1" applyFill="1" applyBorder="1" applyAlignment="1" applyProtection="1">
      <alignment horizontal="left" vertical="center"/>
      <protection hidden="1"/>
    </xf>
    <xf numFmtId="43" fontId="3" fillId="9" borderId="29" xfId="4" applyFont="1" applyFill="1" applyBorder="1" applyAlignment="1" applyProtection="1">
      <alignment horizontal="left" vertical="center"/>
      <protection hidden="1"/>
    </xf>
    <xf numFmtId="43" fontId="3" fillId="9" borderId="30" xfId="4" applyFont="1" applyFill="1" applyBorder="1" applyAlignment="1" applyProtection="1">
      <alignment horizontal="left" vertical="center"/>
      <protection hidden="1"/>
    </xf>
    <xf numFmtId="0" fontId="3" fillId="9" borderId="28" xfId="0" applyFont="1" applyFill="1" applyBorder="1" applyAlignment="1" applyProtection="1">
      <alignment horizontal="left" vertical="center"/>
      <protection hidden="1"/>
    </xf>
    <xf numFmtId="0" fontId="3" fillId="9" borderId="29" xfId="0" applyFont="1" applyFill="1" applyBorder="1" applyAlignment="1" applyProtection="1">
      <alignment horizontal="left" vertical="center"/>
      <protection hidden="1"/>
    </xf>
    <xf numFmtId="0" fontId="3" fillId="9" borderId="30" xfId="0" applyFont="1" applyFill="1" applyBorder="1" applyAlignment="1" applyProtection="1">
      <alignment horizontal="left" vertical="center"/>
      <protection hidden="1"/>
    </xf>
    <xf numFmtId="4" fontId="3" fillId="7" borderId="31" xfId="4" applyNumberFormat="1" applyFont="1" applyFill="1" applyBorder="1" applyAlignment="1" applyProtection="1">
      <alignment vertical="center"/>
      <protection hidden="1"/>
    </xf>
    <xf numFmtId="4" fontId="3" fillId="7" borderId="32" xfId="0" applyNumberFormat="1" applyFont="1" applyFill="1" applyBorder="1" applyAlignment="1" applyProtection="1">
      <alignment horizontal="center" vertical="center"/>
      <protection hidden="1"/>
    </xf>
    <xf numFmtId="4" fontId="3" fillId="7" borderId="33" xfId="0" applyNumberFormat="1" applyFont="1" applyFill="1" applyBorder="1" applyAlignment="1" applyProtection="1">
      <alignment horizontal="center" vertical="center"/>
      <protection hidden="1"/>
    </xf>
    <xf numFmtId="4" fontId="4" fillId="7" borderId="0" xfId="0" applyNumberFormat="1" applyFont="1" applyFill="1" applyAlignment="1" applyProtection="1">
      <alignment horizontal="center" vertical="center"/>
      <protection hidden="1"/>
    </xf>
    <xf numFmtId="4" fontId="20" fillId="7" borderId="0" xfId="0" applyNumberFormat="1" applyFont="1" applyFill="1" applyAlignment="1" applyProtection="1">
      <alignment vertical="center"/>
      <protection hidden="1"/>
    </xf>
    <xf numFmtId="4" fontId="20" fillId="7" borderId="0" xfId="0" applyNumberFormat="1" applyFont="1" applyFill="1" applyAlignment="1" applyProtection="1">
      <alignment horizontal="right" vertical="center"/>
      <protection hidden="1"/>
    </xf>
    <xf numFmtId="4" fontId="16" fillId="7" borderId="0" xfId="0" applyNumberFormat="1" applyFont="1" applyFill="1" applyAlignment="1" applyProtection="1">
      <alignment horizontal="right" vertical="center"/>
      <protection hidden="1"/>
    </xf>
    <xf numFmtId="0" fontId="22" fillId="7" borderId="26" xfId="0" applyFont="1" applyFill="1" applyBorder="1" applyAlignment="1" applyProtection="1">
      <alignment vertical="center"/>
      <protection hidden="1"/>
    </xf>
    <xf numFmtId="4" fontId="22" fillId="7" borderId="26" xfId="0" applyNumberFormat="1" applyFont="1" applyFill="1" applyBorder="1" applyAlignment="1" applyProtection="1">
      <alignment horizontal="right" vertical="center"/>
      <protection hidden="1"/>
    </xf>
    <xf numFmtId="43" fontId="20" fillId="0" borderId="23" xfId="4" applyFont="1" applyFill="1" applyBorder="1" applyAlignment="1" applyProtection="1">
      <alignment vertical="center"/>
      <protection hidden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/>
    <xf numFmtId="186" fontId="12" fillId="4" borderId="11" xfId="0" applyNumberFormat="1" applyFont="1" applyFill="1" applyBorder="1" applyAlignment="1">
      <alignment horizontal="center" vertical="center" wrapText="1"/>
    </xf>
    <xf numFmtId="186" fontId="12" fillId="4" borderId="12" xfId="0" applyNumberFormat="1" applyFont="1" applyFill="1" applyBorder="1" applyAlignment="1">
      <alignment horizontal="center" vertical="center" wrapText="1"/>
    </xf>
    <xf numFmtId="186" fontId="12" fillId="4" borderId="13" xfId="0" applyNumberFormat="1" applyFont="1" applyFill="1" applyBorder="1" applyAlignment="1">
      <alignment horizontal="center" vertical="center" wrapText="1"/>
    </xf>
    <xf numFmtId="166" fontId="13" fillId="0" borderId="34" xfId="0" applyNumberFormat="1" applyFont="1" applyBorder="1"/>
    <xf numFmtId="166" fontId="13" fillId="0" borderId="35" xfId="0" applyNumberFormat="1" applyFont="1" applyBorder="1"/>
    <xf numFmtId="166" fontId="3" fillId="5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190" fontId="16" fillId="7" borderId="0" xfId="0" applyNumberFormat="1" applyFont="1" applyFill="1" applyAlignment="1" applyProtection="1">
      <alignment horizontal="center" vertical="center"/>
      <protection hidden="1"/>
    </xf>
    <xf numFmtId="0" fontId="20" fillId="7" borderId="0" xfId="0" applyFont="1" applyFill="1" applyAlignment="1" applyProtection="1">
      <alignment vertical="center"/>
      <protection hidden="1"/>
    </xf>
    <xf numFmtId="0" fontId="16" fillId="7" borderId="0" xfId="0" applyFont="1" applyFill="1" applyAlignment="1" applyProtection="1">
      <alignment vertical="center"/>
      <protection hidden="1"/>
    </xf>
    <xf numFmtId="191" fontId="16" fillId="7" borderId="0" xfId="0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185" fontId="4" fillId="0" borderId="0" xfId="0" applyNumberFormat="1" applyFont="1" applyAlignment="1">
      <alignment vertical="center"/>
    </xf>
    <xf numFmtId="181" fontId="4" fillId="0" borderId="0" xfId="0" applyNumberFormat="1" applyFont="1" applyAlignment="1">
      <alignment vertical="center"/>
    </xf>
    <xf numFmtId="180" fontId="4" fillId="0" borderId="0" xfId="0" applyNumberFormat="1" applyFont="1" applyAlignment="1">
      <alignment vertical="center"/>
    </xf>
    <xf numFmtId="4" fontId="4" fillId="0" borderId="0" xfId="0" applyNumberFormat="1" applyFont="1" applyAlignment="1" applyProtection="1">
      <alignment vertical="center"/>
      <protection hidden="1"/>
    </xf>
    <xf numFmtId="164" fontId="4" fillId="2" borderId="0" xfId="0" applyNumberFormat="1" applyFont="1" applyFill="1" applyAlignment="1" applyProtection="1">
      <alignment horizontal="center" vertical="center"/>
      <protection hidden="1"/>
    </xf>
    <xf numFmtId="164" fontId="4" fillId="0" borderId="0" xfId="0" applyNumberFormat="1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26" fillId="7" borderId="25" xfId="0" applyFont="1" applyFill="1" applyBorder="1" applyAlignment="1" applyProtection="1">
      <alignment vertical="center"/>
      <protection locked="0" hidden="1"/>
    </xf>
    <xf numFmtId="0" fontId="27" fillId="7" borderId="0" xfId="0" applyFont="1" applyFill="1" applyAlignment="1" applyProtection="1">
      <alignment vertical="center"/>
      <protection locked="0" hidden="1"/>
    </xf>
    <xf numFmtId="0" fontId="26" fillId="7" borderId="0" xfId="0" applyFont="1" applyFill="1" applyAlignment="1" applyProtection="1">
      <alignment horizontal="center" vertical="center"/>
      <protection hidden="1"/>
    </xf>
    <xf numFmtId="0" fontId="4" fillId="7" borderId="22" xfId="0" applyFont="1" applyFill="1" applyBorder="1" applyAlignment="1" applyProtection="1">
      <alignment vertical="center"/>
      <protection hidden="1"/>
    </xf>
    <xf numFmtId="0" fontId="4" fillId="7" borderId="26" xfId="0" applyFont="1" applyFill="1" applyBorder="1" applyAlignment="1" applyProtection="1">
      <alignment vertical="center"/>
      <protection hidden="1"/>
    </xf>
    <xf numFmtId="4" fontId="27" fillId="7" borderId="26" xfId="0" applyNumberFormat="1" applyFont="1" applyFill="1" applyBorder="1" applyAlignment="1" applyProtection="1">
      <alignment vertical="center"/>
      <protection locked="0" hidden="1"/>
    </xf>
    <xf numFmtId="0" fontId="19" fillId="0" borderId="0" xfId="0" applyFont="1" applyAlignment="1" applyProtection="1">
      <alignment vertical="center"/>
      <protection locked="0"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10" borderId="32" xfId="0" applyFont="1" applyFill="1" applyBorder="1" applyAlignment="1" applyProtection="1">
      <alignment horizontal="left" vertical="center"/>
      <protection hidden="1"/>
    </xf>
    <xf numFmtId="0" fontId="3" fillId="10" borderId="0" xfId="0" applyFont="1" applyFill="1" applyAlignment="1" applyProtection="1">
      <alignment horizontal="center" vertical="center"/>
      <protection hidden="1"/>
    </xf>
    <xf numFmtId="0" fontId="4" fillId="10" borderId="0" xfId="0" applyFont="1" applyFill="1" applyAlignment="1" applyProtection="1">
      <alignment horizontal="left" vertical="center" wrapText="1"/>
      <protection locked="0"/>
    </xf>
    <xf numFmtId="0" fontId="4" fillId="10" borderId="0" xfId="0" applyFont="1" applyFill="1" applyAlignment="1" applyProtection="1">
      <alignment vertical="center"/>
      <protection hidden="1"/>
    </xf>
    <xf numFmtId="0" fontId="4" fillId="10" borderId="33" xfId="0" applyFont="1" applyFill="1" applyBorder="1" applyAlignment="1" applyProtection="1">
      <alignment vertical="center"/>
      <protection hidden="1"/>
    </xf>
    <xf numFmtId="0" fontId="4" fillId="10" borderId="32" xfId="0" applyFont="1" applyFill="1" applyBorder="1" applyAlignment="1" applyProtection="1">
      <alignment vertical="center"/>
      <protection hidden="1"/>
    </xf>
    <xf numFmtId="4" fontId="4" fillId="10" borderId="0" xfId="0" applyNumberFormat="1" applyFont="1" applyFill="1" applyAlignment="1" applyProtection="1">
      <alignment vertical="center"/>
      <protection hidden="1"/>
    </xf>
    <xf numFmtId="0" fontId="4" fillId="10" borderId="0" xfId="0" applyFont="1" applyFill="1" applyAlignment="1" applyProtection="1">
      <alignment vertical="center"/>
      <protection locked="0"/>
    </xf>
    <xf numFmtId="0" fontId="4" fillId="10" borderId="0" xfId="0" applyFont="1" applyFill="1" applyAlignment="1" applyProtection="1">
      <alignment horizontal="left" vertical="center"/>
      <protection hidden="1"/>
    </xf>
    <xf numFmtId="3" fontId="25" fillId="10" borderId="37" xfId="0" applyNumberFormat="1" applyFont="1" applyFill="1" applyBorder="1" applyAlignment="1">
      <alignment horizontal="center" vertical="center"/>
    </xf>
    <xf numFmtId="0" fontId="4" fillId="10" borderId="22" xfId="0" applyFont="1" applyFill="1" applyBorder="1" applyAlignment="1" applyProtection="1">
      <alignment vertical="center"/>
      <protection hidden="1"/>
    </xf>
    <xf numFmtId="0" fontId="4" fillId="10" borderId="26" xfId="0" applyFont="1" applyFill="1" applyBorder="1" applyAlignment="1" applyProtection="1">
      <alignment vertical="center"/>
      <protection hidden="1"/>
    </xf>
    <xf numFmtId="0" fontId="4" fillId="10" borderId="26" xfId="0" applyFont="1" applyFill="1" applyBorder="1" applyAlignment="1" applyProtection="1">
      <alignment vertical="center"/>
      <protection locked="0"/>
    </xf>
    <xf numFmtId="4" fontId="4" fillId="10" borderId="26" xfId="0" applyNumberFormat="1" applyFont="1" applyFill="1" applyBorder="1" applyAlignment="1" applyProtection="1">
      <alignment vertical="center"/>
      <protection hidden="1"/>
    </xf>
    <xf numFmtId="0" fontId="28" fillId="10" borderId="26" xfId="0" applyFont="1" applyFill="1" applyBorder="1" applyAlignment="1" applyProtection="1">
      <alignment horizontal="center" vertical="center"/>
      <protection locked="0"/>
    </xf>
    <xf numFmtId="0" fontId="4" fillId="10" borderId="38" xfId="0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6" borderId="39" xfId="0" applyFont="1" applyFill="1" applyBorder="1" applyAlignment="1" applyProtection="1">
      <alignment horizontal="center" vertical="center"/>
      <protection hidden="1"/>
    </xf>
    <xf numFmtId="0" fontId="3" fillId="7" borderId="40" xfId="0" applyFont="1" applyFill="1" applyBorder="1" applyAlignment="1" applyProtection="1">
      <alignment horizontal="right" vertical="center"/>
      <protection hidden="1"/>
    </xf>
    <xf numFmtId="3" fontId="29" fillId="0" borderId="0" xfId="0" applyNumberFormat="1" applyFont="1" applyAlignment="1" applyProtection="1">
      <alignment vertical="center"/>
      <protection hidden="1"/>
    </xf>
    <xf numFmtId="43" fontId="29" fillId="8" borderId="15" xfId="4" applyFont="1" applyFill="1" applyBorder="1" applyAlignment="1" applyProtection="1">
      <alignment horizontal="right" vertical="center"/>
      <protection locked="0"/>
    </xf>
    <xf numFmtId="183" fontId="29" fillId="8" borderId="16" xfId="0" applyNumberFormat="1" applyFont="1" applyFill="1" applyBorder="1" applyAlignment="1" applyProtection="1">
      <alignment vertical="center"/>
      <protection locked="0"/>
    </xf>
    <xf numFmtId="43" fontId="29" fillId="0" borderId="44" xfId="4" applyFont="1" applyFill="1" applyBorder="1" applyAlignment="1" applyProtection="1">
      <alignment vertical="center"/>
      <protection hidden="1"/>
    </xf>
    <xf numFmtId="43" fontId="29" fillId="0" borderId="45" xfId="4" applyFont="1" applyFill="1" applyBorder="1" applyAlignment="1" applyProtection="1">
      <alignment vertical="center"/>
      <protection hidden="1"/>
    </xf>
    <xf numFmtId="3" fontId="4" fillId="0" borderId="0" xfId="0" applyNumberFormat="1" applyFont="1" applyAlignment="1" applyProtection="1">
      <alignment vertical="center"/>
      <protection hidden="1"/>
    </xf>
    <xf numFmtId="0" fontId="30" fillId="0" borderId="46" xfId="0" applyFont="1" applyBorder="1" applyAlignment="1" applyProtection="1">
      <alignment vertical="center"/>
      <protection hidden="1"/>
    </xf>
    <xf numFmtId="0" fontId="3" fillId="0" borderId="47" xfId="0" applyFont="1" applyBorder="1" applyAlignment="1" applyProtection="1">
      <alignment vertical="center"/>
      <protection hidden="1"/>
    </xf>
    <xf numFmtId="4" fontId="20" fillId="10" borderId="50" xfId="0" applyNumberFormat="1" applyFont="1" applyFill="1" applyBorder="1" applyAlignment="1" applyProtection="1">
      <alignment horizontal="right" vertical="center"/>
      <protection hidden="1"/>
    </xf>
    <xf numFmtId="4" fontId="20" fillId="10" borderId="51" xfId="0" applyNumberFormat="1" applyFont="1" applyFill="1" applyBorder="1" applyAlignment="1" applyProtection="1">
      <alignment horizontal="right" vertical="center"/>
      <protection hidden="1"/>
    </xf>
    <xf numFmtId="184" fontId="30" fillId="0" borderId="0" xfId="0" applyNumberFormat="1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0" fillId="0" borderId="56" xfId="0" applyFont="1" applyBorder="1" applyAlignment="1" applyProtection="1">
      <alignment vertical="center"/>
      <protection hidden="1"/>
    </xf>
    <xf numFmtId="0" fontId="20" fillId="0" borderId="58" xfId="0" applyFont="1" applyBorder="1" applyAlignment="1" applyProtection="1">
      <alignment horizontal="right" vertical="center"/>
      <protection hidden="1"/>
    </xf>
    <xf numFmtId="0" fontId="29" fillId="0" borderId="59" xfId="0" applyFont="1" applyBorder="1" applyAlignment="1" applyProtection="1">
      <alignment vertical="center"/>
      <protection hidden="1"/>
    </xf>
    <xf numFmtId="0" fontId="29" fillId="0" borderId="60" xfId="0" applyFont="1" applyBorder="1" applyAlignment="1" applyProtection="1">
      <alignment vertical="center"/>
      <protection hidden="1"/>
    </xf>
    <xf numFmtId="43" fontId="29" fillId="0" borderId="61" xfId="4" applyFont="1" applyBorder="1" applyAlignment="1" applyProtection="1">
      <alignment horizontal="right" vertical="center"/>
      <protection hidden="1"/>
    </xf>
    <xf numFmtId="3" fontId="29" fillId="0" borderId="20" xfId="0" applyNumberFormat="1" applyFont="1" applyBorder="1" applyAlignment="1" applyProtection="1">
      <alignment vertical="center"/>
      <protection hidden="1"/>
    </xf>
    <xf numFmtId="43" fontId="29" fillId="0" borderId="62" xfId="4" applyFont="1" applyFill="1" applyBorder="1" applyAlignment="1" applyProtection="1">
      <alignment vertical="center"/>
      <protection hidden="1"/>
    </xf>
    <xf numFmtId="3" fontId="30" fillId="0" borderId="0" xfId="0" applyNumberFormat="1" applyFont="1" applyAlignment="1" applyProtection="1">
      <alignment vertical="center"/>
      <protection hidden="1"/>
    </xf>
    <xf numFmtId="3" fontId="3" fillId="0" borderId="0" xfId="0" applyNumberFormat="1" applyFont="1" applyAlignment="1" applyProtection="1">
      <alignment vertical="center"/>
      <protection hidden="1"/>
    </xf>
    <xf numFmtId="10" fontId="4" fillId="0" borderId="0" xfId="6" applyNumberFormat="1" applyFont="1" applyFill="1" applyBorder="1" applyAlignment="1" applyProtection="1">
      <alignment vertical="center"/>
      <protection hidden="1"/>
    </xf>
    <xf numFmtId="4" fontId="3" fillId="0" borderId="0" xfId="0" applyNumberFormat="1" applyFont="1" applyAlignment="1" applyProtection="1">
      <alignment vertical="center"/>
      <protection hidden="1"/>
    </xf>
    <xf numFmtId="0" fontId="29" fillId="0" borderId="63" xfId="0" applyFont="1" applyBorder="1" applyAlignment="1" applyProtection="1">
      <alignment vertical="center"/>
      <protection hidden="1"/>
    </xf>
    <xf numFmtId="9" fontId="31" fillId="0" borderId="64" xfId="0" applyNumberFormat="1" applyFont="1" applyBorder="1" applyAlignment="1" applyProtection="1">
      <alignment vertical="center"/>
      <protection hidden="1"/>
    </xf>
    <xf numFmtId="4" fontId="4" fillId="0" borderId="65" xfId="0" applyNumberFormat="1" applyFont="1" applyBorder="1" applyAlignment="1">
      <alignment vertical="center"/>
    </xf>
    <xf numFmtId="3" fontId="4" fillId="8" borderId="66" xfId="0" applyNumberFormat="1" applyFont="1" applyFill="1" applyBorder="1" applyAlignment="1" applyProtection="1">
      <alignment vertical="center"/>
      <protection locked="0"/>
    </xf>
    <xf numFmtId="0" fontId="4" fillId="0" borderId="67" xfId="0" applyFont="1" applyBorder="1" applyAlignment="1" applyProtection="1">
      <alignment horizontal="left" vertical="center"/>
      <protection hidden="1"/>
    </xf>
    <xf numFmtId="10" fontId="4" fillId="0" borderId="17" xfId="0" applyNumberFormat="1" applyFont="1" applyBorder="1" applyAlignment="1" applyProtection="1">
      <alignment vertical="center"/>
      <protection hidden="1"/>
    </xf>
    <xf numFmtId="4" fontId="4" fillId="0" borderId="68" xfId="0" applyNumberFormat="1" applyFont="1" applyBorder="1" applyAlignment="1">
      <alignment vertical="center"/>
    </xf>
    <xf numFmtId="4" fontId="24" fillId="0" borderId="0" xfId="0" applyNumberFormat="1" applyFont="1" applyAlignment="1" applyProtection="1">
      <alignment vertical="center"/>
      <protection hidden="1"/>
    </xf>
    <xf numFmtId="184" fontId="4" fillId="8" borderId="55" xfId="0" applyNumberFormat="1" applyFont="1" applyFill="1" applyBorder="1" applyAlignment="1" applyProtection="1">
      <alignment vertical="center"/>
      <protection locked="0"/>
    </xf>
    <xf numFmtId="0" fontId="4" fillId="0" borderId="69" xfId="0" applyFont="1" applyBorder="1" applyAlignment="1" applyProtection="1">
      <alignment vertical="center"/>
      <protection hidden="1"/>
    </xf>
    <xf numFmtId="0" fontId="4" fillId="0" borderId="70" xfId="0" applyFont="1" applyBorder="1" applyAlignment="1" applyProtection="1">
      <alignment vertical="center"/>
      <protection hidden="1"/>
    </xf>
    <xf numFmtId="0" fontId="3" fillId="0" borderId="41" xfId="0" applyFont="1" applyBorder="1" applyAlignment="1" applyProtection="1">
      <alignment vertical="center"/>
      <protection hidden="1"/>
    </xf>
    <xf numFmtId="9" fontId="3" fillId="0" borderId="11" xfId="0" applyNumberFormat="1" applyFont="1" applyBorder="1" applyAlignment="1" applyProtection="1">
      <alignment vertical="center"/>
      <protection hidden="1"/>
    </xf>
    <xf numFmtId="4" fontId="3" fillId="0" borderId="71" xfId="0" applyNumberFormat="1" applyFont="1" applyBorder="1" applyAlignment="1">
      <alignment vertical="center"/>
    </xf>
    <xf numFmtId="4" fontId="4" fillId="8" borderId="72" xfId="0" applyNumberFormat="1" applyFont="1" applyFill="1" applyBorder="1" applyAlignment="1" applyProtection="1">
      <alignment vertical="center"/>
      <protection locked="0"/>
    </xf>
    <xf numFmtId="9" fontId="4" fillId="0" borderId="14" xfId="0" applyNumberFormat="1" applyFont="1" applyBorder="1" applyAlignment="1" applyProtection="1">
      <alignment vertical="center"/>
      <protection hidden="1"/>
    </xf>
    <xf numFmtId="4" fontId="4" fillId="0" borderId="44" xfId="0" applyNumberFormat="1" applyFont="1" applyBorder="1" applyAlignment="1">
      <alignment vertical="center"/>
    </xf>
    <xf numFmtId="184" fontId="4" fillId="8" borderId="51" xfId="0" applyNumberFormat="1" applyFont="1" applyFill="1" applyBorder="1" applyAlignment="1" applyProtection="1">
      <alignment vertical="center"/>
      <protection locked="0"/>
    </xf>
    <xf numFmtId="0" fontId="4" fillId="0" borderId="32" xfId="0" applyFont="1" applyBorder="1" applyAlignment="1" applyProtection="1">
      <alignment vertical="center"/>
      <protection hidden="1"/>
    </xf>
    <xf numFmtId="9" fontId="4" fillId="0" borderId="73" xfId="0" applyNumberFormat="1" applyFont="1" applyBorder="1" applyAlignment="1" applyProtection="1">
      <alignment vertical="center"/>
      <protection hidden="1"/>
    </xf>
    <xf numFmtId="4" fontId="4" fillId="0" borderId="74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20" fillId="7" borderId="47" xfId="0" applyFont="1" applyFill="1" applyBorder="1" applyAlignment="1" applyProtection="1">
      <alignment vertical="center"/>
      <protection hidden="1"/>
    </xf>
    <xf numFmtId="9" fontId="20" fillId="7" borderId="48" xfId="0" applyNumberFormat="1" applyFont="1" applyFill="1" applyBorder="1" applyAlignment="1" applyProtection="1">
      <alignment vertical="center"/>
      <protection hidden="1"/>
    </xf>
    <xf numFmtId="4" fontId="20" fillId="7" borderId="75" xfId="0" applyNumberFormat="1" applyFont="1" applyFill="1" applyBorder="1" applyAlignment="1">
      <alignment vertical="center"/>
    </xf>
    <xf numFmtId="0" fontId="4" fillId="0" borderId="28" xfId="0" applyFont="1" applyBorder="1" applyAlignment="1" applyProtection="1">
      <alignment horizontal="left" vertical="center"/>
      <protection hidden="1"/>
    </xf>
    <xf numFmtId="10" fontId="4" fillId="0" borderId="30" xfId="6" applyNumberFormat="1" applyFont="1" applyFill="1" applyBorder="1" applyAlignment="1" applyProtection="1">
      <alignment horizontal="right" vertical="center"/>
    </xf>
    <xf numFmtId="4" fontId="31" fillId="0" borderId="0" xfId="0" applyNumberFormat="1" applyFont="1" applyAlignment="1" applyProtection="1">
      <alignment vertical="center"/>
      <protection hidden="1"/>
    </xf>
    <xf numFmtId="0" fontId="4" fillId="0" borderId="59" xfId="0" applyFont="1" applyBorder="1" applyAlignment="1" applyProtection="1">
      <alignment horizontal="left" vertical="center"/>
      <protection hidden="1"/>
    </xf>
    <xf numFmtId="10" fontId="4" fillId="0" borderId="76" xfId="6" applyNumberFormat="1" applyFont="1" applyFill="1" applyBorder="1" applyAlignment="1" applyProtection="1">
      <alignment horizontal="right" vertical="center"/>
    </xf>
    <xf numFmtId="9" fontId="4" fillId="0" borderId="0" xfId="0" applyNumberFormat="1" applyFont="1" applyAlignment="1" applyProtection="1">
      <alignment vertical="center"/>
      <protection hidden="1"/>
    </xf>
    <xf numFmtId="0" fontId="16" fillId="0" borderId="50" xfId="0" applyFont="1" applyBorder="1" applyAlignment="1" applyProtection="1">
      <alignment horizontal="right" vertical="center"/>
      <protection hidden="1"/>
    </xf>
    <xf numFmtId="0" fontId="20" fillId="0" borderId="80" xfId="0" applyFont="1" applyBorder="1" applyAlignment="1" applyProtection="1">
      <alignment horizontal="right" vertical="center"/>
      <protection hidden="1"/>
    </xf>
    <xf numFmtId="0" fontId="3" fillId="0" borderId="81" xfId="0" applyFont="1" applyBorder="1" applyAlignment="1" applyProtection="1">
      <alignment horizontal="right" vertical="center"/>
      <protection hidden="1"/>
    </xf>
    <xf numFmtId="0" fontId="3" fillId="7" borderId="51" xfId="0" applyFont="1" applyFill="1" applyBorder="1" applyAlignment="1" applyProtection="1">
      <alignment horizontal="right" vertical="center"/>
      <protection hidden="1"/>
    </xf>
    <xf numFmtId="2" fontId="3" fillId="0" borderId="0" xfId="0" applyNumberFormat="1" applyFont="1" applyAlignment="1" applyProtection="1">
      <alignment horizontal="center" vertical="center"/>
      <protection hidden="1"/>
    </xf>
    <xf numFmtId="3" fontId="3" fillId="0" borderId="0" xfId="0" applyNumberFormat="1" applyFont="1" applyAlignment="1">
      <alignment vertical="center"/>
    </xf>
    <xf numFmtId="0" fontId="4" fillId="7" borderId="63" xfId="0" applyFont="1" applyFill="1" applyBorder="1" applyAlignment="1" applyProtection="1">
      <alignment vertical="center"/>
      <protection hidden="1"/>
    </xf>
    <xf numFmtId="0" fontId="4" fillId="7" borderId="25" xfId="0" applyFont="1" applyFill="1" applyBorder="1" applyAlignment="1" applyProtection="1">
      <alignment vertical="center"/>
      <protection hidden="1"/>
    </xf>
    <xf numFmtId="0" fontId="27" fillId="7" borderId="82" xfId="0" applyFont="1" applyFill="1" applyBorder="1" applyAlignment="1" applyProtection="1">
      <alignment vertical="center"/>
      <protection hidden="1"/>
    </xf>
    <xf numFmtId="0" fontId="4" fillId="7" borderId="32" xfId="0" applyFont="1" applyFill="1" applyBorder="1" applyAlignment="1" applyProtection="1">
      <alignment vertical="center"/>
      <protection hidden="1"/>
    </xf>
    <xf numFmtId="0" fontId="4" fillId="7" borderId="0" xfId="0" applyFont="1" applyFill="1" applyAlignment="1" applyProtection="1">
      <alignment vertical="center"/>
      <protection hidden="1"/>
    </xf>
    <xf numFmtId="166" fontId="26" fillId="7" borderId="0" xfId="0" applyNumberFormat="1" applyFont="1" applyFill="1" applyAlignment="1" applyProtection="1">
      <alignment vertical="center"/>
      <protection hidden="1"/>
    </xf>
    <xf numFmtId="179" fontId="3" fillId="7" borderId="0" xfId="0" quotePrefix="1" applyNumberFormat="1" applyFont="1" applyFill="1" applyAlignment="1" applyProtection="1">
      <alignment vertical="center"/>
      <protection hidden="1"/>
    </xf>
    <xf numFmtId="0" fontId="4" fillId="7" borderId="33" xfId="0" applyFont="1" applyFill="1" applyBorder="1" applyAlignment="1" applyProtection="1">
      <alignment vertical="center"/>
      <protection hidden="1"/>
    </xf>
    <xf numFmtId="0" fontId="4" fillId="7" borderId="32" xfId="0" applyFont="1" applyFill="1" applyBorder="1" applyAlignment="1" applyProtection="1">
      <alignment horizontal="center" vertical="center"/>
      <protection hidden="1"/>
    </xf>
    <xf numFmtId="0" fontId="4" fillId="7" borderId="38" xfId="0" applyFont="1" applyFill="1" applyBorder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" fillId="0" borderId="83" xfId="0" applyFont="1" applyBorder="1" applyAlignment="1" applyProtection="1">
      <alignment vertical="center"/>
      <protection hidden="1"/>
    </xf>
    <xf numFmtId="0" fontId="3" fillId="0" borderId="75" xfId="0" applyFont="1" applyBorder="1" applyAlignment="1" applyProtection="1">
      <alignment vertical="center"/>
      <protection hidden="1"/>
    </xf>
    <xf numFmtId="0" fontId="3" fillId="0" borderId="26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left" vertical="center"/>
    </xf>
    <xf numFmtId="4" fontId="29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29" fillId="8" borderId="69" xfId="0" applyFont="1" applyFill="1" applyBorder="1" applyAlignment="1" applyProtection="1">
      <alignment vertical="center"/>
      <protection locked="0"/>
    </xf>
    <xf numFmtId="0" fontId="29" fillId="8" borderId="14" xfId="0" applyFont="1" applyFill="1" applyBorder="1" applyAlignment="1" applyProtection="1">
      <alignment vertical="center"/>
      <protection locked="0"/>
    </xf>
    <xf numFmtId="0" fontId="29" fillId="8" borderId="67" xfId="0" applyFont="1" applyFill="1" applyBorder="1" applyAlignment="1" applyProtection="1">
      <alignment vertical="center"/>
      <protection locked="0"/>
    </xf>
    <xf numFmtId="0" fontId="29" fillId="8" borderId="17" xfId="0" applyFont="1" applyFill="1" applyBorder="1" applyAlignment="1" applyProtection="1">
      <alignment vertical="center"/>
      <protection locked="0"/>
    </xf>
    <xf numFmtId="0" fontId="27" fillId="7" borderId="26" xfId="0" applyFont="1" applyFill="1" applyBorder="1" applyAlignment="1" applyProtection="1">
      <alignment vertical="center"/>
      <protection locked="0" hidden="1"/>
    </xf>
    <xf numFmtId="0" fontId="20" fillId="8" borderId="15" xfId="0" applyFont="1" applyFill="1" applyBorder="1" applyAlignment="1" applyProtection="1">
      <alignment horizontal="center" vertical="center"/>
      <protection locked="0" hidden="1"/>
    </xf>
    <xf numFmtId="2" fontId="20" fillId="8" borderId="84" xfId="0" applyNumberFormat="1" applyFont="1" applyFill="1" applyBorder="1" applyAlignment="1" applyProtection="1">
      <alignment horizontal="center" vertical="center"/>
      <protection locked="0" hidden="1"/>
    </xf>
    <xf numFmtId="171" fontId="4" fillId="8" borderId="85" xfId="0" quotePrefix="1" applyNumberFormat="1" applyFont="1" applyFill="1" applyBorder="1" applyAlignment="1" applyProtection="1">
      <alignment horizontal="center" vertical="center"/>
      <protection locked="0" hidden="1"/>
    </xf>
    <xf numFmtId="2" fontId="16" fillId="8" borderId="86" xfId="0" applyNumberFormat="1" applyFont="1" applyFill="1" applyBorder="1" applyAlignment="1" applyProtection="1">
      <alignment horizontal="center" vertical="center"/>
      <protection locked="0" hidden="1"/>
    </xf>
    <xf numFmtId="0" fontId="4" fillId="7" borderId="25" xfId="0" applyFont="1" applyFill="1" applyBorder="1" applyAlignment="1" applyProtection="1">
      <alignment horizontal="center" vertical="center"/>
      <protection hidden="1"/>
    </xf>
    <xf numFmtId="0" fontId="4" fillId="0" borderId="87" xfId="0" applyFont="1" applyBorder="1" applyAlignment="1" applyProtection="1">
      <alignment vertical="center"/>
      <protection hidden="1"/>
    </xf>
    <xf numFmtId="0" fontId="4" fillId="0" borderId="88" xfId="0" applyFont="1" applyBorder="1" applyAlignment="1" applyProtection="1">
      <alignment vertical="center"/>
      <protection hidden="1"/>
    </xf>
    <xf numFmtId="4" fontId="4" fillId="8" borderId="53" xfId="0" applyNumberFormat="1" applyFont="1" applyFill="1" applyBorder="1" applyAlignment="1" applyProtection="1">
      <alignment vertical="center"/>
      <protection locked="0"/>
    </xf>
    <xf numFmtId="4" fontId="4" fillId="8" borderId="55" xfId="0" applyNumberFormat="1" applyFont="1" applyFill="1" applyBorder="1" applyAlignment="1" applyProtection="1">
      <alignment vertical="center"/>
      <protection locked="0"/>
    </xf>
    <xf numFmtId="0" fontId="30" fillId="0" borderId="47" xfId="0" applyFont="1" applyBorder="1" applyAlignment="1" applyProtection="1">
      <alignment vertical="center"/>
      <protection hidden="1"/>
    </xf>
    <xf numFmtId="0" fontId="30" fillId="0" borderId="48" xfId="0" applyFont="1" applyBorder="1" applyAlignment="1" applyProtection="1">
      <alignment vertical="center"/>
      <protection hidden="1"/>
    </xf>
    <xf numFmtId="43" fontId="30" fillId="0" borderId="49" xfId="4" applyFont="1" applyBorder="1" applyAlignment="1" applyProtection="1">
      <alignment horizontal="right" vertical="center"/>
      <protection hidden="1"/>
    </xf>
    <xf numFmtId="4" fontId="3" fillId="9" borderId="91" xfId="0" applyNumberFormat="1" applyFont="1" applyFill="1" applyBorder="1" applyAlignment="1" applyProtection="1">
      <alignment vertical="center"/>
      <protection hidden="1"/>
    </xf>
    <xf numFmtId="4" fontId="16" fillId="0" borderId="91" xfId="0" applyNumberFormat="1" applyFont="1" applyBorder="1" applyAlignment="1" applyProtection="1">
      <alignment vertical="center"/>
      <protection hidden="1"/>
    </xf>
    <xf numFmtId="43" fontId="29" fillId="0" borderId="93" xfId="4" applyFont="1" applyFill="1" applyBorder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vertical="center"/>
      <protection hidden="1"/>
    </xf>
    <xf numFmtId="177" fontId="35" fillId="0" borderId="0" xfId="0" applyNumberFormat="1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37" fillId="7" borderId="0" xfId="0" applyFont="1" applyFill="1" applyAlignment="1" applyProtection="1">
      <alignment vertical="center"/>
      <protection hidden="1"/>
    </xf>
    <xf numFmtId="4" fontId="37" fillId="7" borderId="0" xfId="0" applyNumberFormat="1" applyFont="1" applyFill="1" applyAlignment="1" applyProtection="1">
      <alignment vertical="center"/>
      <protection hidden="1"/>
    </xf>
    <xf numFmtId="4" fontId="37" fillId="7" borderId="0" xfId="0" applyNumberFormat="1" applyFont="1" applyFill="1" applyAlignment="1" applyProtection="1">
      <alignment horizontal="right" vertical="center"/>
      <protection hidden="1"/>
    </xf>
    <xf numFmtId="0" fontId="39" fillId="11" borderId="83" xfId="0" applyFont="1" applyFill="1" applyBorder="1" applyAlignment="1" applyProtection="1">
      <alignment vertical="center"/>
      <protection hidden="1"/>
    </xf>
    <xf numFmtId="0" fontId="3" fillId="0" borderId="63" xfId="0" applyFont="1" applyBorder="1" applyAlignment="1" applyProtection="1">
      <alignment horizontal="right" vertical="center"/>
      <protection hidden="1"/>
    </xf>
    <xf numFmtId="0" fontId="3" fillId="0" borderId="32" xfId="0" applyFont="1" applyBorder="1" applyAlignment="1" applyProtection="1">
      <alignment horizontal="right" vertical="center"/>
      <protection hidden="1"/>
    </xf>
    <xf numFmtId="0" fontId="4" fillId="0" borderId="33" xfId="0" applyFont="1" applyBorder="1" applyAlignment="1" applyProtection="1">
      <alignment vertical="center"/>
      <protection hidden="1"/>
    </xf>
    <xf numFmtId="0" fontId="4" fillId="0" borderId="22" xfId="0" applyFont="1" applyBorder="1" applyAlignment="1" applyProtection="1">
      <alignment vertical="center"/>
      <protection hidden="1"/>
    </xf>
    <xf numFmtId="0" fontId="4" fillId="0" borderId="26" xfId="0" applyFont="1" applyBorder="1" applyAlignment="1" applyProtection="1">
      <alignment horizontal="left" vertical="center"/>
      <protection hidden="1"/>
    </xf>
    <xf numFmtId="0" fontId="4" fillId="0" borderId="26" xfId="0" applyFont="1" applyBorder="1" applyAlignment="1" applyProtection="1">
      <alignment vertical="center"/>
      <protection hidden="1"/>
    </xf>
    <xf numFmtId="4" fontId="4" fillId="0" borderId="26" xfId="0" applyNumberFormat="1" applyFont="1" applyBorder="1" applyAlignment="1" applyProtection="1">
      <alignment vertical="center"/>
      <protection hidden="1"/>
    </xf>
    <xf numFmtId="0" fontId="4" fillId="0" borderId="38" xfId="0" applyFont="1" applyBorder="1" applyAlignment="1" applyProtection="1">
      <alignment vertical="center"/>
      <protection hidden="1"/>
    </xf>
    <xf numFmtId="169" fontId="4" fillId="0" borderId="0" xfId="0" applyNumberFormat="1" applyFont="1" applyAlignment="1">
      <alignment vertical="center"/>
    </xf>
    <xf numFmtId="182" fontId="4" fillId="0" borderId="0" xfId="0" applyNumberFormat="1" applyFont="1" applyAlignment="1">
      <alignment vertical="center"/>
    </xf>
    <xf numFmtId="0" fontId="29" fillId="8" borderId="89" xfId="0" applyFont="1" applyFill="1" applyBorder="1" applyAlignment="1" applyProtection="1">
      <alignment vertical="center"/>
      <protection locked="0"/>
    </xf>
    <xf numFmtId="0" fontId="29" fillId="8" borderId="98" xfId="0" applyFont="1" applyFill="1" applyBorder="1" applyAlignment="1" applyProtection="1">
      <alignment vertical="center"/>
      <protection locked="0"/>
    </xf>
    <xf numFmtId="43" fontId="29" fillId="8" borderId="99" xfId="4" applyFont="1" applyFill="1" applyBorder="1" applyAlignment="1" applyProtection="1">
      <alignment horizontal="right" vertical="center"/>
      <protection locked="0"/>
    </xf>
    <xf numFmtId="4" fontId="45" fillId="14" borderId="40" xfId="0" applyNumberFormat="1" applyFont="1" applyFill="1" applyBorder="1" applyAlignment="1" applyProtection="1">
      <alignment vertical="center"/>
      <protection hidden="1"/>
    </xf>
    <xf numFmtId="4" fontId="45" fillId="15" borderId="40" xfId="0" applyNumberFormat="1" applyFont="1" applyFill="1" applyBorder="1" applyAlignment="1" applyProtection="1">
      <alignment vertical="center"/>
      <protection hidden="1"/>
    </xf>
    <xf numFmtId="171" fontId="20" fillId="16" borderId="26" xfId="0" quotePrefix="1" applyNumberFormat="1" applyFont="1" applyFill="1" applyBorder="1" applyAlignment="1" applyProtection="1">
      <alignment horizontal="center" vertical="center"/>
      <protection locked="0" hidden="1"/>
    </xf>
    <xf numFmtId="0" fontId="4" fillId="16" borderId="0" xfId="0" applyFont="1" applyFill="1" applyAlignment="1" applyProtection="1">
      <alignment vertical="center"/>
      <protection hidden="1"/>
    </xf>
    <xf numFmtId="0" fontId="27" fillId="17" borderId="0" xfId="0" applyFont="1" applyFill="1" applyAlignment="1" applyProtection="1">
      <alignment vertical="center"/>
      <protection locked="0" hidden="1"/>
    </xf>
    <xf numFmtId="187" fontId="4" fillId="0" borderId="0" xfId="0" applyNumberFormat="1" applyFont="1" applyAlignment="1" applyProtection="1">
      <alignment vertical="center"/>
      <protection hidden="1"/>
    </xf>
    <xf numFmtId="187" fontId="4" fillId="0" borderId="0" xfId="0" applyNumberFormat="1" applyFont="1" applyAlignment="1">
      <alignment vertical="center"/>
    </xf>
    <xf numFmtId="169" fontId="46" fillId="7" borderId="25" xfId="0" applyNumberFormat="1" applyFont="1" applyFill="1" applyBorder="1" applyAlignment="1" applyProtection="1">
      <alignment vertical="center"/>
      <protection hidden="1"/>
    </xf>
    <xf numFmtId="192" fontId="24" fillId="0" borderId="97" xfId="0" applyNumberFormat="1" applyFont="1" applyBorder="1" applyAlignment="1" applyProtection="1">
      <alignment horizontal="center" vertical="center"/>
      <protection locked="0"/>
    </xf>
    <xf numFmtId="43" fontId="30" fillId="0" borderId="115" xfId="4" applyFont="1" applyFill="1" applyBorder="1" applyAlignment="1" applyProtection="1">
      <alignment vertical="center"/>
      <protection hidden="1"/>
    </xf>
    <xf numFmtId="4" fontId="47" fillId="10" borderId="50" xfId="0" applyNumberFormat="1" applyFont="1" applyFill="1" applyBorder="1" applyAlignment="1" applyProtection="1">
      <alignment horizontal="right" vertical="center"/>
      <protection hidden="1"/>
    </xf>
    <xf numFmtId="43" fontId="47" fillId="0" borderId="118" xfId="4" applyFont="1" applyFill="1" applyBorder="1" applyAlignment="1" applyProtection="1">
      <alignment vertical="center"/>
      <protection hidden="1"/>
    </xf>
    <xf numFmtId="0" fontId="29" fillId="18" borderId="69" xfId="0" applyFont="1" applyFill="1" applyBorder="1" applyAlignment="1" applyProtection="1">
      <alignment vertical="center"/>
      <protection locked="0"/>
    </xf>
    <xf numFmtId="0" fontId="47" fillId="0" borderId="77" xfId="0" applyFont="1" applyBorder="1" applyAlignment="1" applyProtection="1">
      <alignment vertical="center"/>
      <protection hidden="1"/>
    </xf>
    <xf numFmtId="0" fontId="47" fillId="0" borderId="92" xfId="0" applyFont="1" applyBorder="1" applyAlignment="1" applyProtection="1">
      <alignment vertical="center"/>
      <protection hidden="1"/>
    </xf>
    <xf numFmtId="43" fontId="47" fillId="0" borderId="93" xfId="4" applyFont="1" applyFill="1" applyBorder="1" applyAlignment="1" applyProtection="1">
      <alignment horizontal="right" vertical="center"/>
      <protection hidden="1"/>
    </xf>
    <xf numFmtId="0" fontId="3" fillId="0" borderId="63" xfId="0" applyFont="1" applyBorder="1" applyAlignment="1" applyProtection="1">
      <alignment vertical="center"/>
      <protection hidden="1"/>
    </xf>
    <xf numFmtId="0" fontId="4" fillId="0" borderId="102" xfId="0" applyFont="1" applyBorder="1" applyAlignment="1" applyProtection="1">
      <alignment horizontal="left" vertical="center"/>
      <protection hidden="1"/>
    </xf>
    <xf numFmtId="0" fontId="4" fillId="0" borderId="94" xfId="0" applyFont="1" applyBorder="1" applyAlignment="1" applyProtection="1">
      <alignment horizontal="left" vertical="center"/>
      <protection hidden="1"/>
    </xf>
    <xf numFmtId="0" fontId="4" fillId="0" borderId="107" xfId="0" applyFont="1" applyBorder="1" applyAlignment="1" applyProtection="1">
      <alignment horizontal="left" vertical="center"/>
      <protection hidden="1"/>
    </xf>
    <xf numFmtId="0" fontId="3" fillId="10" borderId="67" xfId="0" applyFont="1" applyFill="1" applyBorder="1" applyAlignment="1" applyProtection="1">
      <alignment horizontal="left" vertical="center"/>
      <protection hidden="1"/>
    </xf>
    <xf numFmtId="0" fontId="3" fillId="10" borderId="103" xfId="0" applyFont="1" applyFill="1" applyBorder="1" applyAlignment="1" applyProtection="1">
      <alignment horizontal="left" vertical="center"/>
      <protection hidden="1"/>
    </xf>
    <xf numFmtId="0" fontId="3" fillId="10" borderId="104" xfId="0" applyFont="1" applyFill="1" applyBorder="1" applyAlignment="1" applyProtection="1">
      <alignment horizontal="left" vertical="center"/>
      <protection hidden="1"/>
    </xf>
    <xf numFmtId="0" fontId="3" fillId="2" borderId="47" xfId="0" applyFont="1" applyFill="1" applyBorder="1" applyAlignment="1" applyProtection="1">
      <alignment horizontal="left" vertical="center"/>
      <protection locked="0" hidden="1"/>
    </xf>
    <xf numFmtId="0" fontId="3" fillId="2" borderId="83" xfId="0" applyFont="1" applyFill="1" applyBorder="1" applyAlignment="1" applyProtection="1">
      <alignment horizontal="left" vertical="center"/>
      <protection locked="0" hidden="1"/>
    </xf>
    <xf numFmtId="0" fontId="3" fillId="2" borderId="106" xfId="0" applyFont="1" applyFill="1" applyBorder="1" applyAlignment="1" applyProtection="1">
      <alignment horizontal="left" vertical="center"/>
      <protection locked="0" hidden="1"/>
    </xf>
    <xf numFmtId="0" fontId="3" fillId="2" borderId="67" xfId="0" applyFont="1" applyFill="1" applyBorder="1" applyAlignment="1" applyProtection="1">
      <alignment horizontal="left" vertical="center"/>
      <protection hidden="1"/>
    </xf>
    <xf numFmtId="0" fontId="3" fillId="2" borderId="103" xfId="0" applyFont="1" applyFill="1" applyBorder="1" applyAlignment="1" applyProtection="1">
      <alignment horizontal="left" vertical="center"/>
      <protection hidden="1"/>
    </xf>
    <xf numFmtId="0" fontId="3" fillId="2" borderId="104" xfId="0" applyFont="1" applyFill="1" applyBorder="1" applyAlignment="1" applyProtection="1">
      <alignment horizontal="left" vertical="center"/>
      <protection hidden="1"/>
    </xf>
    <xf numFmtId="0" fontId="4" fillId="0" borderId="46" xfId="0" applyFont="1" applyBorder="1" applyAlignment="1" applyProtection="1">
      <alignment horizontal="left" vertical="center"/>
      <protection hidden="1"/>
    </xf>
    <xf numFmtId="0" fontId="4" fillId="0" borderId="56" xfId="0" applyFont="1" applyBorder="1" applyAlignment="1" applyProtection="1">
      <alignment horizontal="left" vertical="center"/>
      <protection hidden="1"/>
    </xf>
    <xf numFmtId="0" fontId="4" fillId="0" borderId="105" xfId="0" applyFont="1" applyBorder="1" applyAlignment="1" applyProtection="1">
      <alignment horizontal="left" vertical="center"/>
      <protection hidden="1"/>
    </xf>
    <xf numFmtId="0" fontId="3" fillId="10" borderId="47" xfId="0" applyFont="1" applyFill="1" applyBorder="1" applyAlignment="1" applyProtection="1">
      <alignment horizontal="left" vertical="center"/>
      <protection locked="0" hidden="1"/>
    </xf>
    <xf numFmtId="0" fontId="3" fillId="10" borderId="83" xfId="0" applyFont="1" applyFill="1" applyBorder="1" applyAlignment="1" applyProtection="1">
      <alignment horizontal="left" vertical="center"/>
      <protection locked="0" hidden="1"/>
    </xf>
    <xf numFmtId="0" fontId="3" fillId="10" borderId="106" xfId="0" applyFont="1" applyFill="1" applyBorder="1" applyAlignment="1" applyProtection="1">
      <alignment horizontal="left" vertical="center"/>
      <protection locked="0" hidden="1"/>
    </xf>
    <xf numFmtId="184" fontId="29" fillId="0" borderId="31" xfId="0" applyNumberFormat="1" applyFont="1" applyBorder="1" applyAlignment="1" applyProtection="1">
      <alignment vertical="center"/>
      <protection hidden="1"/>
    </xf>
    <xf numFmtId="4" fontId="47" fillId="0" borderId="0" xfId="0" applyNumberFormat="1" applyFont="1" applyAlignment="1" applyProtection="1">
      <alignment horizontal="right" vertical="center"/>
      <protection hidden="1"/>
    </xf>
    <xf numFmtId="4" fontId="20" fillId="0" borderId="0" xfId="0" applyNumberFormat="1" applyFont="1" applyAlignment="1" applyProtection="1">
      <alignment horizontal="right" vertical="center"/>
      <protection hidden="1"/>
    </xf>
    <xf numFmtId="4" fontId="20" fillId="10" borderId="91" xfId="0" applyNumberFormat="1" applyFont="1" applyFill="1" applyBorder="1" applyAlignment="1" applyProtection="1">
      <alignment horizontal="right" vertical="center"/>
      <protection hidden="1"/>
    </xf>
    <xf numFmtId="43" fontId="29" fillId="0" borderId="128" xfId="4" applyFont="1" applyFill="1" applyBorder="1" applyAlignment="1" applyProtection="1">
      <alignment vertical="center"/>
      <protection hidden="1"/>
    </xf>
    <xf numFmtId="183" fontId="3" fillId="0" borderId="27" xfId="0" applyNumberFormat="1" applyFont="1" applyBorder="1" applyAlignment="1" applyProtection="1">
      <alignment vertical="center"/>
      <protection hidden="1"/>
    </xf>
    <xf numFmtId="194" fontId="46" fillId="7" borderId="25" xfId="6" applyNumberFormat="1" applyFont="1" applyFill="1" applyBorder="1" applyAlignment="1" applyProtection="1">
      <alignment vertical="center"/>
      <protection hidden="1"/>
    </xf>
    <xf numFmtId="0" fontId="52" fillId="0" borderId="58" xfId="0" applyFont="1" applyBorder="1" applyAlignment="1" applyProtection="1">
      <alignment horizontal="right" vertical="center"/>
      <protection hidden="1"/>
    </xf>
    <xf numFmtId="43" fontId="52" fillId="0" borderId="23" xfId="4" applyFont="1" applyFill="1" applyBorder="1" applyAlignment="1" applyProtection="1">
      <alignment vertical="center"/>
      <protection hidden="1"/>
    </xf>
    <xf numFmtId="0" fontId="54" fillId="0" borderId="57" xfId="0" applyFont="1" applyBorder="1" applyAlignment="1" applyProtection="1">
      <alignment horizontal="right" vertical="center"/>
      <protection hidden="1"/>
    </xf>
    <xf numFmtId="171" fontId="3" fillId="7" borderId="25" xfId="0" applyNumberFormat="1" applyFont="1" applyFill="1" applyBorder="1" applyAlignment="1" applyProtection="1">
      <alignment horizontal="center" vertical="center"/>
      <protection hidden="1"/>
    </xf>
    <xf numFmtId="43" fontId="54" fillId="0" borderId="22" xfId="4" applyFont="1" applyFill="1" applyBorder="1" applyAlignment="1" applyProtection="1">
      <alignment horizontal="right" vertical="center"/>
      <protection hidden="1"/>
    </xf>
    <xf numFmtId="0" fontId="3" fillId="19" borderId="39" xfId="0" applyFont="1" applyFill="1" applyBorder="1" applyAlignment="1" applyProtection="1">
      <alignment horizontal="center" vertical="center"/>
      <protection hidden="1"/>
    </xf>
    <xf numFmtId="4" fontId="3" fillId="19" borderId="27" xfId="0" applyNumberFormat="1" applyFont="1" applyFill="1" applyBorder="1" applyAlignment="1" applyProtection="1">
      <alignment horizontal="center" vertical="center"/>
      <protection hidden="1"/>
    </xf>
    <xf numFmtId="4" fontId="3" fillId="19" borderId="3" xfId="0" applyNumberFormat="1" applyFont="1" applyFill="1" applyBorder="1" applyAlignment="1" applyProtection="1">
      <alignment horizontal="center" vertical="center"/>
      <protection hidden="1"/>
    </xf>
    <xf numFmtId="4" fontId="3" fillId="0" borderId="32" xfId="4" applyNumberFormat="1" applyFont="1" applyFill="1" applyBorder="1" applyAlignment="1" applyProtection="1">
      <alignment vertical="center"/>
      <protection hidden="1"/>
    </xf>
    <xf numFmtId="0" fontId="51" fillId="0" borderId="0" xfId="0" applyFont="1" applyAlignment="1" applyProtection="1">
      <alignment vertical="center"/>
      <protection hidden="1"/>
    </xf>
    <xf numFmtId="0" fontId="56" fillId="7" borderId="0" xfId="0" applyFont="1" applyFill="1" applyAlignment="1" applyProtection="1">
      <alignment horizontal="center" vertical="center"/>
      <protection hidden="1"/>
    </xf>
    <xf numFmtId="0" fontId="3" fillId="7" borderId="130" xfId="0" applyFont="1" applyFill="1" applyBorder="1" applyAlignment="1" applyProtection="1">
      <alignment horizontal="center" vertical="center"/>
      <protection hidden="1"/>
    </xf>
    <xf numFmtId="0" fontId="3" fillId="7" borderId="131" xfId="0" applyFont="1" applyFill="1" applyBorder="1" applyAlignment="1" applyProtection="1">
      <alignment horizontal="center" vertical="center"/>
      <protection hidden="1"/>
    </xf>
    <xf numFmtId="0" fontId="53" fillId="7" borderId="132" xfId="0" applyFont="1" applyFill="1" applyBorder="1" applyAlignment="1" applyProtection="1">
      <alignment horizontal="center" vertical="center"/>
      <protection hidden="1"/>
    </xf>
    <xf numFmtId="4" fontId="3" fillId="7" borderId="133" xfId="0" applyNumberFormat="1" applyFont="1" applyFill="1" applyBorder="1" applyAlignment="1" applyProtection="1">
      <alignment horizontal="center" vertical="center"/>
      <protection hidden="1"/>
    </xf>
    <xf numFmtId="4" fontId="3" fillId="7" borderId="134" xfId="0" applyNumberFormat="1" applyFont="1" applyFill="1" applyBorder="1" applyAlignment="1" applyProtection="1">
      <alignment horizontal="center" vertical="center"/>
      <protection hidden="1"/>
    </xf>
    <xf numFmtId="4" fontId="53" fillId="7" borderId="135" xfId="0" applyNumberFormat="1" applyFont="1" applyFill="1" applyBorder="1" applyAlignment="1" applyProtection="1">
      <alignment horizontal="center" vertical="center"/>
      <protection hidden="1"/>
    </xf>
    <xf numFmtId="0" fontId="52" fillId="7" borderId="130" xfId="0" applyFont="1" applyFill="1" applyBorder="1" applyAlignment="1" applyProtection="1">
      <alignment horizontal="center" vertical="center"/>
      <protection hidden="1"/>
    </xf>
    <xf numFmtId="0" fontId="52" fillId="7" borderId="131" xfId="0" applyFont="1" applyFill="1" applyBorder="1" applyAlignment="1" applyProtection="1">
      <alignment horizontal="center" vertical="center"/>
      <protection hidden="1"/>
    </xf>
    <xf numFmtId="4" fontId="52" fillId="7" borderId="133" xfId="0" applyNumberFormat="1" applyFont="1" applyFill="1" applyBorder="1" applyAlignment="1" applyProtection="1">
      <alignment horizontal="center" vertical="center"/>
      <protection hidden="1"/>
    </xf>
    <xf numFmtId="4" fontId="52" fillId="7" borderId="134" xfId="0" applyNumberFormat="1" applyFont="1" applyFill="1" applyBorder="1" applyAlignment="1" applyProtection="1">
      <alignment horizontal="center" vertical="center"/>
      <protection hidden="1"/>
    </xf>
    <xf numFmtId="0" fontId="57" fillId="10" borderId="0" xfId="0" applyFont="1" applyFill="1" applyAlignment="1" applyProtection="1">
      <alignment vertical="center"/>
      <protection locked="0"/>
    </xf>
    <xf numFmtId="0" fontId="4" fillId="0" borderId="0" xfId="8" applyFont="1" applyAlignment="1" applyProtection="1">
      <alignment vertical="center"/>
      <protection hidden="1"/>
    </xf>
    <xf numFmtId="187" fontId="4" fillId="0" borderId="0" xfId="8" applyNumberFormat="1" applyFont="1" applyAlignment="1" applyProtection="1">
      <alignment vertical="center"/>
      <protection hidden="1"/>
    </xf>
    <xf numFmtId="187" fontId="4" fillId="0" borderId="0" xfId="8" applyNumberFormat="1" applyFont="1" applyAlignment="1">
      <alignment vertical="center"/>
    </xf>
    <xf numFmtId="169" fontId="4" fillId="0" borderId="0" xfId="8" applyNumberFormat="1" applyFont="1" applyAlignment="1">
      <alignment vertical="center"/>
    </xf>
    <xf numFmtId="172" fontId="2" fillId="0" borderId="0" xfId="8" applyNumberFormat="1" applyAlignment="1">
      <alignment vertical="center"/>
    </xf>
    <xf numFmtId="0" fontId="58" fillId="0" borderId="0" xfId="0" applyFont="1" applyAlignment="1" applyProtection="1">
      <alignment horizontal="center" vertical="center"/>
      <protection hidden="1"/>
    </xf>
    <xf numFmtId="0" fontId="59" fillId="0" borderId="0" xfId="0" applyFont="1" applyAlignment="1" applyProtection="1">
      <alignment horizontal="center" vertical="center"/>
      <protection hidden="1"/>
    </xf>
    <xf numFmtId="4" fontId="59" fillId="0" borderId="0" xfId="0" applyNumberFormat="1" applyFont="1" applyAlignment="1" applyProtection="1">
      <alignment horizontal="center" vertical="center"/>
      <protection hidden="1"/>
    </xf>
    <xf numFmtId="4" fontId="59" fillId="0" borderId="0" xfId="0" applyNumberFormat="1" applyFont="1" applyAlignment="1" applyProtection="1">
      <alignment horizontal="left" vertical="center"/>
      <protection hidden="1"/>
    </xf>
    <xf numFmtId="4" fontId="59" fillId="0" borderId="0" xfId="0" applyNumberFormat="1" applyFont="1" applyAlignment="1" applyProtection="1">
      <alignment horizontal="right" vertical="center"/>
      <protection hidden="1"/>
    </xf>
    <xf numFmtId="0" fontId="60" fillId="7" borderId="0" xfId="0" applyFont="1" applyFill="1" applyAlignment="1" applyProtection="1">
      <alignment horizontal="center" vertical="center"/>
      <protection hidden="1"/>
    </xf>
    <xf numFmtId="171" fontId="56" fillId="7" borderId="0" xfId="6" applyNumberFormat="1" applyFont="1" applyFill="1" applyBorder="1" applyAlignment="1" applyProtection="1">
      <alignment horizontal="center" vertical="center"/>
      <protection hidden="1"/>
    </xf>
    <xf numFmtId="4" fontId="60" fillId="7" borderId="0" xfId="0" applyNumberFormat="1" applyFont="1" applyFill="1" applyAlignment="1" applyProtection="1">
      <alignment horizontal="center" vertical="center"/>
      <protection hidden="1"/>
    </xf>
    <xf numFmtId="0" fontId="3" fillId="17" borderId="47" xfId="0" applyFont="1" applyFill="1" applyBorder="1" applyAlignment="1" applyProtection="1">
      <alignment vertical="center"/>
      <protection hidden="1"/>
    </xf>
    <xf numFmtId="0" fontId="62" fillId="0" borderId="124" xfId="0" applyFont="1" applyBorder="1" applyAlignment="1" applyProtection="1">
      <alignment horizontal="center"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193" fontId="62" fillId="0" borderId="21" xfId="0" applyNumberFormat="1" applyFont="1" applyBorder="1" applyAlignment="1" applyProtection="1">
      <alignment horizontal="center" vertical="center" wrapText="1"/>
      <protection hidden="1"/>
    </xf>
    <xf numFmtId="193" fontId="63" fillId="0" borderId="21" xfId="0" applyNumberFormat="1" applyFont="1" applyBorder="1" applyAlignment="1" applyProtection="1">
      <alignment horizontal="center" vertical="center" wrapText="1"/>
      <protection hidden="1"/>
    </xf>
    <xf numFmtId="193" fontId="62" fillId="0" borderId="23" xfId="0" applyNumberFormat="1" applyFont="1" applyBorder="1" applyAlignment="1" applyProtection="1">
      <alignment horizontal="center" vertical="center" wrapText="1"/>
      <protection hidden="1"/>
    </xf>
    <xf numFmtId="193" fontId="63" fillId="0" borderId="23" xfId="0" applyNumberFormat="1" applyFont="1" applyBorder="1" applyAlignment="1" applyProtection="1">
      <alignment horizontal="center" vertical="center" wrapText="1"/>
      <protection hidden="1"/>
    </xf>
    <xf numFmtId="0" fontId="62" fillId="0" borderId="24" xfId="8" applyFont="1" applyBorder="1" applyAlignment="1" applyProtection="1">
      <alignment horizontal="center" vertical="center" wrapText="1"/>
      <protection hidden="1"/>
    </xf>
    <xf numFmtId="183" fontId="66" fillId="8" borderId="117" xfId="0" applyNumberFormat="1" applyFont="1" applyFill="1" applyBorder="1" applyAlignment="1" applyProtection="1">
      <alignment vertical="center"/>
      <protection locked="0"/>
    </xf>
    <xf numFmtId="43" fontId="65" fillId="0" borderId="54" xfId="4" applyFont="1" applyFill="1" applyBorder="1" applyAlignment="1" applyProtection="1">
      <alignment vertical="center"/>
      <protection hidden="1"/>
    </xf>
    <xf numFmtId="183" fontId="66" fillId="8" borderId="36" xfId="0" applyNumberFormat="1" applyFont="1" applyFill="1" applyBorder="1" applyAlignment="1" applyProtection="1">
      <alignment vertical="center"/>
      <protection locked="0"/>
    </xf>
    <xf numFmtId="43" fontId="65" fillId="0" borderId="118" xfId="4" applyFont="1" applyFill="1" applyBorder="1" applyAlignment="1" applyProtection="1">
      <alignment vertical="center"/>
      <protection hidden="1"/>
    </xf>
    <xf numFmtId="43" fontId="65" fillId="0" borderId="129" xfId="4" applyFont="1" applyFill="1" applyBorder="1" applyAlignment="1" applyProtection="1">
      <alignment vertical="center"/>
      <protection hidden="1"/>
    </xf>
    <xf numFmtId="43" fontId="65" fillId="0" borderId="127" xfId="4" applyFont="1" applyFill="1" applyBorder="1" applyAlignment="1" applyProtection="1">
      <alignment vertical="center"/>
      <protection hidden="1"/>
    </xf>
    <xf numFmtId="0" fontId="67" fillId="0" borderId="31" xfId="0" applyFont="1" applyBorder="1" applyAlignment="1" applyProtection="1">
      <alignment horizontal="right" vertical="center"/>
      <protection hidden="1"/>
    </xf>
    <xf numFmtId="43" fontId="67" fillId="0" borderId="86" xfId="4" applyFont="1" applyFill="1" applyBorder="1" applyAlignment="1" applyProtection="1">
      <alignment horizontal="right" vertical="center"/>
      <protection hidden="1"/>
    </xf>
    <xf numFmtId="43" fontId="67" fillId="0" borderId="40" xfId="4" applyFont="1" applyFill="1" applyBorder="1" applyAlignment="1" applyProtection="1">
      <alignment horizontal="right" vertical="center"/>
      <protection hidden="1"/>
    </xf>
    <xf numFmtId="3" fontId="7" fillId="0" borderId="0" xfId="0" applyNumberFormat="1" applyFont="1" applyAlignment="1" applyProtection="1">
      <alignment vertical="center"/>
      <protection hidden="1"/>
    </xf>
    <xf numFmtId="43" fontId="64" fillId="18" borderId="120" xfId="0" applyNumberFormat="1" applyFont="1" applyFill="1" applyBorder="1" applyAlignment="1" applyProtection="1">
      <alignment vertical="center"/>
      <protection locked="0"/>
    </xf>
    <xf numFmtId="43" fontId="65" fillId="0" borderId="120" xfId="0" applyNumberFormat="1" applyFont="1" applyBorder="1" applyAlignment="1" applyProtection="1">
      <alignment vertical="center"/>
      <protection hidden="1"/>
    </xf>
    <xf numFmtId="43" fontId="64" fillId="18" borderId="36" xfId="0" applyNumberFormat="1" applyFont="1" applyFill="1" applyBorder="1" applyAlignment="1" applyProtection="1">
      <alignment vertical="center"/>
      <protection locked="0"/>
    </xf>
    <xf numFmtId="43" fontId="65" fillId="0" borderId="36" xfId="0" applyNumberFormat="1" applyFont="1" applyBorder="1" applyAlignment="1" applyProtection="1">
      <alignment vertical="center"/>
      <protection hidden="1"/>
    </xf>
    <xf numFmtId="0" fontId="55" fillId="0" borderId="0" xfId="0" applyFont="1" applyAlignment="1">
      <alignment vertical="center"/>
    </xf>
    <xf numFmtId="43" fontId="64" fillId="18" borderId="123" xfId="0" applyNumberFormat="1" applyFont="1" applyFill="1" applyBorder="1" applyAlignment="1" applyProtection="1">
      <alignment vertical="center"/>
      <protection locked="0"/>
    </xf>
    <xf numFmtId="43" fontId="65" fillId="0" borderId="123" xfId="0" applyNumberFormat="1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30" fillId="17" borderId="22" xfId="0" applyFont="1" applyFill="1" applyBorder="1" applyAlignment="1" applyProtection="1">
      <alignment vertical="center"/>
      <protection hidden="1"/>
    </xf>
    <xf numFmtId="0" fontId="30" fillId="17" borderId="112" xfId="0" applyFont="1" applyFill="1" applyBorder="1" applyAlignment="1" applyProtection="1">
      <alignment vertical="center"/>
      <protection hidden="1"/>
    </xf>
    <xf numFmtId="43" fontId="30" fillId="17" borderId="113" xfId="4" applyFont="1" applyFill="1" applyBorder="1" applyAlignment="1" applyProtection="1">
      <alignment horizontal="right" vertical="center"/>
      <protection hidden="1"/>
    </xf>
    <xf numFmtId="3" fontId="30" fillId="17" borderId="114" xfId="0" applyNumberFormat="1" applyFont="1" applyFill="1" applyBorder="1" applyAlignment="1" applyProtection="1">
      <alignment vertical="center"/>
      <protection hidden="1"/>
    </xf>
    <xf numFmtId="0" fontId="4" fillId="18" borderId="14" xfId="0" applyFont="1" applyFill="1" applyBorder="1" applyAlignment="1" applyProtection="1">
      <alignment vertical="center"/>
      <protection locked="0"/>
    </xf>
    <xf numFmtId="43" fontId="4" fillId="18" borderId="15" xfId="4" applyFont="1" applyFill="1" applyBorder="1" applyAlignment="1" applyProtection="1">
      <alignment horizontal="right" vertical="center"/>
      <protection locked="0"/>
    </xf>
    <xf numFmtId="183" fontId="4" fillId="18" borderId="43" xfId="0" applyNumberFormat="1" applyFont="1" applyFill="1" applyBorder="1" applyAlignment="1" applyProtection="1">
      <alignment vertical="center"/>
      <protection locked="0"/>
    </xf>
    <xf numFmtId="0" fontId="4" fillId="18" borderId="87" xfId="0" applyFont="1" applyFill="1" applyBorder="1" applyAlignment="1" applyProtection="1">
      <alignment horizontal="left" vertical="center"/>
      <protection locked="0"/>
    </xf>
    <xf numFmtId="0" fontId="4" fillId="18" borderId="138" xfId="0" applyFont="1" applyFill="1" applyBorder="1" applyAlignment="1" applyProtection="1">
      <alignment horizontal="left" vertical="center"/>
      <protection locked="0"/>
    </xf>
    <xf numFmtId="43" fontId="4" fillId="18" borderId="52" xfId="4" applyFont="1" applyFill="1" applyBorder="1" applyAlignment="1" applyProtection="1">
      <alignment horizontal="right" vertical="center"/>
      <protection locked="0"/>
    </xf>
    <xf numFmtId="0" fontId="4" fillId="18" borderId="17" xfId="0" applyFont="1" applyFill="1" applyBorder="1" applyAlignment="1" applyProtection="1">
      <alignment vertical="center"/>
      <protection locked="0"/>
    </xf>
    <xf numFmtId="0" fontId="2" fillId="0" borderId="63" xfId="0" applyFont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82" xfId="0" applyFont="1" applyBorder="1" applyAlignment="1" applyProtection="1">
      <alignment vertical="center"/>
      <protection locked="0"/>
    </xf>
    <xf numFmtId="0" fontId="2" fillId="0" borderId="3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33" xfId="0" applyFont="1" applyBorder="1" applyAlignment="1" applyProtection="1">
      <alignment vertical="center"/>
      <protection locked="0"/>
    </xf>
    <xf numFmtId="0" fontId="2" fillId="0" borderId="22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" fillId="0" borderId="38" xfId="0" applyFont="1" applyBorder="1" applyAlignment="1" applyProtection="1">
      <alignment vertical="center"/>
      <protection locked="0"/>
    </xf>
    <xf numFmtId="4" fontId="3" fillId="5" borderId="36" xfId="0" applyNumberFormat="1" applyFont="1" applyFill="1" applyBorder="1" applyAlignment="1" applyProtection="1">
      <alignment horizontal="center" vertical="center"/>
      <protection hidden="1"/>
    </xf>
    <xf numFmtId="0" fontId="68" fillId="2" borderId="0" xfId="9" applyFill="1" applyAlignment="1" applyProtection="1">
      <alignment vertical="center"/>
      <protection hidden="1"/>
    </xf>
    <xf numFmtId="43" fontId="16" fillId="18" borderId="22" xfId="4" applyFont="1" applyFill="1" applyBorder="1" applyAlignment="1" applyProtection="1">
      <alignment vertical="center"/>
      <protection locked="0"/>
    </xf>
    <xf numFmtId="43" fontId="3" fillId="0" borderId="0" xfId="4" applyFont="1" applyFill="1" applyBorder="1" applyAlignment="1" applyProtection="1">
      <alignment vertical="center"/>
      <protection hidden="1"/>
    </xf>
    <xf numFmtId="43" fontId="20" fillId="0" borderId="0" xfId="4" applyFont="1" applyFill="1" applyBorder="1" applyAlignment="1" applyProtection="1">
      <alignment vertical="center"/>
      <protection locked="0"/>
    </xf>
    <xf numFmtId="43" fontId="16" fillId="0" borderId="83" xfId="4" applyFont="1" applyFill="1" applyBorder="1" applyAlignment="1" applyProtection="1">
      <alignment vertical="center"/>
      <protection locked="0"/>
    </xf>
    <xf numFmtId="49" fontId="49" fillId="0" borderId="94" xfId="0" applyNumberFormat="1" applyFont="1" applyBorder="1" applyAlignment="1" applyProtection="1">
      <alignment vertical="center"/>
      <protection locked="0"/>
    </xf>
    <xf numFmtId="49" fontId="24" fillId="0" borderId="0" xfId="0" applyNumberFormat="1" applyFont="1" applyAlignment="1" applyProtection="1">
      <alignment vertical="center"/>
      <protection locked="0"/>
    </xf>
    <xf numFmtId="49" fontId="24" fillId="0" borderId="10" xfId="0" applyNumberFormat="1" applyFont="1" applyBorder="1" applyAlignment="1" applyProtection="1">
      <alignment vertical="center"/>
      <protection locked="0"/>
    </xf>
    <xf numFmtId="49" fontId="24" fillId="0" borderId="96" xfId="0" applyNumberFormat="1" applyFont="1" applyBorder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vertical="center"/>
      <protection locked="0"/>
    </xf>
    <xf numFmtId="49" fontId="24" fillId="0" borderId="95" xfId="0" applyNumberFormat="1" applyFont="1" applyBorder="1" applyAlignment="1" applyProtection="1">
      <alignment horizontal="right" vertical="center"/>
      <protection locked="0"/>
    </xf>
    <xf numFmtId="0" fontId="69" fillId="0" borderId="0" xfId="0" applyFont="1" applyAlignment="1">
      <alignment vertical="center"/>
    </xf>
    <xf numFmtId="195" fontId="4" fillId="18" borderId="78" xfId="6" applyNumberFormat="1" applyFont="1" applyFill="1" applyBorder="1" applyAlignment="1" applyProtection="1">
      <alignment vertical="center"/>
      <protection locked="0"/>
    </xf>
    <xf numFmtId="196" fontId="4" fillId="8" borderId="79" xfId="6" applyNumberFormat="1" applyFont="1" applyFill="1" applyBorder="1" applyAlignment="1" applyProtection="1">
      <alignment vertical="center"/>
      <protection locked="0"/>
    </xf>
    <xf numFmtId="166" fontId="13" fillId="0" borderId="112" xfId="0" applyNumberFormat="1" applyFont="1" applyBorder="1"/>
    <xf numFmtId="166" fontId="13" fillId="0" borderId="113" xfId="0" applyNumberFormat="1" applyFont="1" applyBorder="1"/>
    <xf numFmtId="166" fontId="13" fillId="0" borderId="86" xfId="0" applyNumberFormat="1" applyFont="1" applyBorder="1"/>
    <xf numFmtId="1" fontId="13" fillId="0" borderId="143" xfId="0" applyNumberFormat="1" applyFont="1" applyBorder="1" applyAlignment="1">
      <alignment horizontal="left"/>
    </xf>
    <xf numFmtId="0" fontId="12" fillId="4" borderId="144" xfId="0" applyFont="1" applyFill="1" applyBorder="1" applyAlignment="1">
      <alignment horizontal="left" vertical="center" wrapText="1"/>
    </xf>
    <xf numFmtId="168" fontId="12" fillId="4" borderId="42" xfId="0" applyNumberFormat="1" applyFont="1" applyFill="1" applyBorder="1" applyAlignment="1">
      <alignment horizontal="center" vertical="center" wrapText="1"/>
    </xf>
    <xf numFmtId="1" fontId="13" fillId="0" borderId="145" xfId="0" applyNumberFormat="1" applyFont="1" applyBorder="1" applyAlignment="1">
      <alignment horizontal="left"/>
    </xf>
    <xf numFmtId="1" fontId="13" fillId="0" borderId="146" xfId="0" applyNumberFormat="1" applyFont="1" applyBorder="1" applyAlignment="1">
      <alignment horizontal="left"/>
    </xf>
    <xf numFmtId="166" fontId="13" fillId="0" borderId="147" xfId="0" applyNumberFormat="1" applyFont="1" applyBorder="1"/>
    <xf numFmtId="186" fontId="12" fillId="4" borderId="42" xfId="0" applyNumberFormat="1" applyFont="1" applyFill="1" applyBorder="1" applyAlignment="1">
      <alignment horizontal="center" vertical="center" wrapText="1"/>
    </xf>
    <xf numFmtId="166" fontId="13" fillId="0" borderId="148" xfId="0" applyNumberFormat="1" applyFont="1" applyBorder="1"/>
    <xf numFmtId="166" fontId="13" fillId="0" borderId="149" xfId="0" applyNumberFormat="1" applyFont="1" applyBorder="1"/>
    <xf numFmtId="197" fontId="3" fillId="0" borderId="0" xfId="0" applyNumberFormat="1" applyFont="1" applyAlignment="1">
      <alignment horizontal="left" vertical="center"/>
    </xf>
    <xf numFmtId="49" fontId="3" fillId="0" borderId="25" xfId="0" applyNumberFormat="1" applyFont="1" applyBorder="1" applyAlignment="1" applyProtection="1">
      <alignment horizontal="left" vertical="center"/>
      <protection locked="0"/>
    </xf>
    <xf numFmtId="49" fontId="24" fillId="0" borderId="25" xfId="0" applyNumberFormat="1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righ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24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right" vertical="center"/>
      <protection locked="0"/>
    </xf>
    <xf numFmtId="0" fontId="24" fillId="0" borderId="33" xfId="0" applyFont="1" applyBorder="1" applyAlignment="1" applyProtection="1">
      <alignment vertical="center"/>
      <protection locked="0"/>
    </xf>
    <xf numFmtId="187" fontId="3" fillId="18" borderId="85" xfId="0" applyNumberFormat="1" applyFont="1" applyFill="1" applyBorder="1" applyAlignment="1" applyProtection="1">
      <alignment horizontal="center" vertical="center"/>
      <protection locked="0" hidden="1"/>
    </xf>
    <xf numFmtId="187" fontId="20" fillId="18" borderId="36" xfId="0" applyNumberFormat="1" applyFont="1" applyFill="1" applyBorder="1" applyAlignment="1" applyProtection="1">
      <alignment horizontal="center" vertical="center"/>
      <protection locked="0"/>
    </xf>
    <xf numFmtId="3" fontId="24" fillId="18" borderId="36" xfId="0" applyNumberFormat="1" applyFont="1" applyFill="1" applyBorder="1" applyAlignment="1" applyProtection="1">
      <alignment horizontal="center" vertical="center"/>
      <protection locked="0"/>
    </xf>
    <xf numFmtId="9" fontId="20" fillId="18" borderId="36" xfId="6" applyFont="1" applyFill="1" applyBorder="1" applyAlignment="1" applyProtection="1">
      <alignment horizontal="center" vertical="center"/>
      <protection locked="0"/>
    </xf>
    <xf numFmtId="0" fontId="3" fillId="18" borderId="10" xfId="0" applyFont="1" applyFill="1" applyBorder="1" applyAlignment="1" applyProtection="1">
      <alignment horizontal="center" vertical="center"/>
      <protection locked="0"/>
    </xf>
    <xf numFmtId="0" fontId="4" fillId="18" borderId="10" xfId="0" applyFont="1" applyFill="1" applyBorder="1" applyAlignment="1" applyProtection="1">
      <alignment vertical="center"/>
      <protection locked="0"/>
    </xf>
    <xf numFmtId="14" fontId="3" fillId="18" borderId="1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/>
    <xf numFmtId="0" fontId="30" fillId="0" borderId="77" xfId="0" applyFont="1" applyBorder="1" applyAlignment="1" applyProtection="1">
      <alignment horizontal="right" vertical="center"/>
      <protection hidden="1"/>
    </xf>
    <xf numFmtId="9" fontId="30" fillId="0" borderId="92" xfId="6" applyFont="1" applyFill="1" applyBorder="1" applyAlignment="1" applyProtection="1">
      <alignment horizontal="left" vertical="center"/>
      <protection hidden="1"/>
    </xf>
    <xf numFmtId="198" fontId="3" fillId="0" borderId="0" xfId="0" applyNumberFormat="1" applyFont="1" applyAlignment="1">
      <alignment horizontal="left" vertical="center"/>
    </xf>
    <xf numFmtId="0" fontId="72" fillId="0" borderId="0" xfId="0" applyFont="1"/>
    <xf numFmtId="0" fontId="73" fillId="0" borderId="0" xfId="0" applyFont="1" applyAlignment="1">
      <alignment vertical="center"/>
    </xf>
    <xf numFmtId="0" fontId="33" fillId="8" borderId="75" xfId="0" applyFont="1" applyFill="1" applyBorder="1" applyAlignment="1" applyProtection="1">
      <alignment horizontal="center" vertical="center"/>
      <protection locked="0" hidden="1"/>
    </xf>
    <xf numFmtId="0" fontId="33" fillId="7" borderId="47" xfId="0" applyFont="1" applyFill="1" applyBorder="1" applyAlignment="1" applyProtection="1">
      <alignment horizontal="left" vertical="center"/>
      <protection hidden="1"/>
    </xf>
    <xf numFmtId="0" fontId="33" fillId="7" borderId="106" xfId="0" applyFont="1" applyFill="1" applyBorder="1" applyAlignment="1" applyProtection="1">
      <alignment horizontal="left" vertical="center"/>
      <protection hidden="1"/>
    </xf>
    <xf numFmtId="0" fontId="3" fillId="20" borderId="67" xfId="0" applyFont="1" applyFill="1" applyBorder="1" applyAlignment="1" applyProtection="1">
      <alignment horizontal="left" vertical="center"/>
      <protection hidden="1"/>
    </xf>
    <xf numFmtId="0" fontId="3" fillId="20" borderId="103" xfId="0" applyFont="1" applyFill="1" applyBorder="1" applyAlignment="1" applyProtection="1">
      <alignment horizontal="left" vertical="center"/>
      <protection hidden="1"/>
    </xf>
    <xf numFmtId="0" fontId="3" fillId="20" borderId="104" xfId="0" applyFont="1" applyFill="1" applyBorder="1" applyAlignment="1" applyProtection="1">
      <alignment horizontal="left" vertical="center"/>
      <protection hidden="1"/>
    </xf>
    <xf numFmtId="0" fontId="3" fillId="20" borderId="47" xfId="0" applyFont="1" applyFill="1" applyBorder="1" applyAlignment="1" applyProtection="1">
      <alignment horizontal="left" vertical="center"/>
      <protection locked="0" hidden="1"/>
    </xf>
    <xf numFmtId="0" fontId="3" fillId="20" borderId="83" xfId="0" applyFont="1" applyFill="1" applyBorder="1" applyAlignment="1" applyProtection="1">
      <alignment horizontal="left" vertical="center"/>
      <protection locked="0" hidden="1"/>
    </xf>
    <xf numFmtId="0" fontId="3" fillId="20" borderId="106" xfId="0" applyFont="1" applyFill="1" applyBorder="1" applyAlignment="1" applyProtection="1">
      <alignment horizontal="left" vertical="center"/>
      <protection locked="0" hidden="1"/>
    </xf>
    <xf numFmtId="0" fontId="49" fillId="18" borderId="69" xfId="0" applyFont="1" applyFill="1" applyBorder="1" applyAlignment="1" applyProtection="1">
      <alignment vertical="center"/>
      <protection locked="0"/>
    </xf>
    <xf numFmtId="0" fontId="49" fillId="18" borderId="70" xfId="0" applyFont="1" applyFill="1" applyBorder="1" applyAlignment="1" applyProtection="1">
      <alignment vertical="center"/>
      <protection locked="0"/>
    </xf>
    <xf numFmtId="0" fontId="49" fillId="18" borderId="89" xfId="0" applyFont="1" applyFill="1" applyBorder="1" applyAlignment="1" applyProtection="1">
      <alignment vertical="center"/>
      <protection locked="0"/>
    </xf>
    <xf numFmtId="0" fontId="49" fillId="18" borderId="90" xfId="0" applyFont="1" applyFill="1" applyBorder="1" applyAlignment="1" applyProtection="1">
      <alignment vertical="center"/>
      <protection locked="0"/>
    </xf>
    <xf numFmtId="0" fontId="74" fillId="0" borderId="0" xfId="0" applyFont="1"/>
    <xf numFmtId="169" fontId="4" fillId="0" borderId="0" xfId="0" applyNumberFormat="1" applyFont="1" applyAlignment="1">
      <alignment horizontal="right" vertical="center"/>
    </xf>
    <xf numFmtId="49" fontId="24" fillId="0" borderId="10" xfId="0" applyNumberFormat="1" applyFont="1" applyBorder="1" applyAlignment="1" applyProtection="1">
      <alignment horizontal="left" vertical="center"/>
      <protection locked="0"/>
    </xf>
    <xf numFmtId="49" fontId="24" fillId="0" borderId="94" xfId="0" applyNumberFormat="1" applyFont="1" applyBorder="1" applyAlignment="1" applyProtection="1">
      <alignment horizontal="center" vertical="center"/>
      <protection locked="0"/>
    </xf>
    <xf numFmtId="0" fontId="0" fillId="0" borderId="36" xfId="0" applyBorder="1"/>
    <xf numFmtId="0" fontId="79" fillId="0" borderId="36" xfId="0" applyFont="1" applyBorder="1"/>
    <xf numFmtId="0" fontId="79" fillId="0" borderId="36" xfId="0" quotePrefix="1" applyFont="1" applyBorder="1"/>
    <xf numFmtId="0" fontId="78" fillId="21" borderId="36" xfId="0" applyFont="1" applyFill="1" applyBorder="1"/>
    <xf numFmtId="0" fontId="78" fillId="21" borderId="36" xfId="0" applyFont="1" applyFill="1" applyBorder="1" applyAlignment="1">
      <alignment wrapText="1"/>
    </xf>
    <xf numFmtId="0" fontId="80" fillId="21" borderId="36" xfId="0" applyFont="1" applyFill="1" applyBorder="1" applyAlignment="1">
      <alignment wrapText="1"/>
    </xf>
    <xf numFmtId="0" fontId="81" fillId="0" borderId="0" xfId="0" applyFont="1"/>
    <xf numFmtId="0" fontId="0" fillId="0" borderId="0" xfId="0" applyAlignment="1">
      <alignment horizontal="center"/>
    </xf>
    <xf numFmtId="0" fontId="79" fillId="0" borderId="0" xfId="0" applyFont="1"/>
    <xf numFmtId="0" fontId="0" fillId="0" borderId="0" xfId="0" applyAlignment="1">
      <alignment horizontal="center" textRotation="90" wrapText="1"/>
    </xf>
    <xf numFmtId="0" fontId="24" fillId="0" borderId="110" xfId="0" applyFont="1" applyBorder="1" applyAlignment="1" applyProtection="1">
      <alignment horizontal="center" vertical="center"/>
      <protection hidden="1"/>
    </xf>
    <xf numFmtId="0" fontId="4" fillId="0" borderId="109" xfId="0" applyFont="1" applyBorder="1" applyAlignment="1" applyProtection="1">
      <alignment horizontal="center" vertical="center"/>
      <protection hidden="1"/>
    </xf>
    <xf numFmtId="0" fontId="3" fillId="18" borderId="36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111" xfId="0" applyBorder="1" applyAlignment="1">
      <alignment horizontal="left" vertical="center"/>
    </xf>
    <xf numFmtId="192" fontId="40" fillId="14" borderId="78" xfId="0" applyNumberFormat="1" applyFont="1" applyFill="1" applyBorder="1" applyAlignment="1" applyProtection="1">
      <alignment horizontal="center" vertical="center"/>
      <protection hidden="1"/>
    </xf>
    <xf numFmtId="200" fontId="24" fillId="0" borderId="33" xfId="0" applyNumberFormat="1" applyFont="1" applyBorder="1" applyAlignment="1" applyProtection="1">
      <alignment horizontal="center" vertical="center"/>
      <protection locked="0"/>
    </xf>
    <xf numFmtId="14" fontId="4" fillId="0" borderId="10" xfId="0" applyNumberFormat="1" applyFont="1" applyBorder="1" applyAlignment="1" applyProtection="1">
      <alignment vertical="center"/>
      <protection locked="0"/>
    </xf>
    <xf numFmtId="201" fontId="4" fillId="0" borderId="0" xfId="0" applyNumberFormat="1" applyFont="1" applyAlignment="1">
      <alignment vertical="center"/>
    </xf>
    <xf numFmtId="202" fontId="4" fillId="0" borderId="0" xfId="0" applyNumberFormat="1" applyFont="1" applyAlignment="1">
      <alignment vertical="center"/>
    </xf>
    <xf numFmtId="0" fontId="29" fillId="8" borderId="87" xfId="0" applyFont="1" applyFill="1" applyBorder="1" applyAlignment="1" applyProtection="1">
      <alignment vertical="center"/>
      <protection locked="0"/>
    </xf>
    <xf numFmtId="0" fontId="29" fillId="8" borderId="138" xfId="0" applyFont="1" applyFill="1" applyBorder="1" applyAlignment="1" applyProtection="1">
      <alignment vertical="center"/>
      <protection locked="0"/>
    </xf>
    <xf numFmtId="43" fontId="29" fillId="8" borderId="52" xfId="4" applyFont="1" applyFill="1" applyBorder="1" applyAlignment="1" applyProtection="1">
      <alignment horizontal="right" vertical="center"/>
      <protection locked="0"/>
    </xf>
    <xf numFmtId="183" fontId="29" fillId="8" borderId="43" xfId="0" applyNumberFormat="1" applyFont="1" applyFill="1" applyBorder="1" applyAlignment="1" applyProtection="1">
      <alignment vertical="center"/>
      <protection locked="0"/>
    </xf>
    <xf numFmtId="43" fontId="29" fillId="0" borderId="152" xfId="4" applyFont="1" applyFill="1" applyBorder="1" applyAlignment="1" applyProtection="1">
      <alignment vertical="center"/>
      <protection hidden="1"/>
    </xf>
    <xf numFmtId="0" fontId="3" fillId="5" borderId="111" xfId="0" applyFont="1" applyFill="1" applyBorder="1" applyAlignment="1" applyProtection="1">
      <alignment horizontal="center" vertical="center"/>
      <protection hidden="1"/>
    </xf>
    <xf numFmtId="4" fontId="3" fillId="5" borderId="37" xfId="0" applyNumberFormat="1" applyFont="1" applyFill="1" applyBorder="1" applyAlignment="1" applyProtection="1">
      <alignment horizontal="center" vertical="center"/>
      <protection hidden="1"/>
    </xf>
    <xf numFmtId="0" fontId="3" fillId="22" borderId="47" xfId="0" applyFont="1" applyFill="1" applyBorder="1" applyAlignment="1" applyProtection="1">
      <alignment vertical="center"/>
      <protection hidden="1"/>
    </xf>
    <xf numFmtId="203" fontId="4" fillId="0" borderId="0" xfId="0" applyNumberFormat="1" applyFont="1" applyAlignment="1" applyProtection="1">
      <alignment vertical="center"/>
      <protection hidden="1"/>
    </xf>
    <xf numFmtId="204" fontId="50" fillId="0" borderId="0" xfId="0" applyNumberFormat="1" applyFont="1" applyAlignment="1" applyProtection="1">
      <alignment vertical="center"/>
      <protection hidden="1"/>
    </xf>
    <xf numFmtId="4" fontId="3" fillId="10" borderId="0" xfId="0" applyNumberFormat="1" applyFont="1" applyFill="1" applyAlignment="1" applyProtection="1">
      <alignment horizontal="center" vertical="center"/>
      <protection hidden="1"/>
    </xf>
    <xf numFmtId="4" fontId="3" fillId="14" borderId="65" xfId="0" applyNumberFormat="1" applyFont="1" applyFill="1" applyBorder="1" applyAlignment="1">
      <alignment horizontal="right" vertical="center"/>
    </xf>
    <xf numFmtId="205" fontId="3" fillId="14" borderId="49" xfId="0" applyNumberFormat="1" applyFont="1" applyFill="1" applyBorder="1" applyAlignment="1">
      <alignment horizontal="right" vertical="center"/>
    </xf>
    <xf numFmtId="193" fontId="62" fillId="0" borderId="5" xfId="0" applyNumberFormat="1" applyFont="1" applyBorder="1" applyAlignment="1" applyProtection="1">
      <alignment horizontal="center" vertical="center" wrapText="1"/>
      <protection hidden="1"/>
    </xf>
    <xf numFmtId="43" fontId="67" fillId="0" borderId="32" xfId="4" applyFont="1" applyFill="1" applyBorder="1" applyAlignment="1" applyProtection="1">
      <alignment horizontal="right" vertical="center"/>
      <protection hidden="1"/>
    </xf>
    <xf numFmtId="183" fontId="66" fillId="8" borderId="153" xfId="0" applyNumberFormat="1" applyFont="1" applyFill="1" applyBorder="1" applyAlignment="1" applyProtection="1">
      <alignment vertical="center"/>
      <protection locked="0"/>
    </xf>
    <xf numFmtId="183" fontId="66" fillId="8" borderId="123" xfId="0" applyNumberFormat="1" applyFont="1" applyFill="1" applyBorder="1" applyAlignment="1" applyProtection="1">
      <alignment vertical="center"/>
      <protection locked="0"/>
    </xf>
    <xf numFmtId="43" fontId="66" fillId="0" borderId="54" xfId="4" applyFont="1" applyFill="1" applyBorder="1" applyAlignment="1" applyProtection="1">
      <alignment vertical="center"/>
      <protection hidden="1"/>
    </xf>
    <xf numFmtId="43" fontId="66" fillId="0" borderId="118" xfId="4" applyFont="1" applyFill="1" applyBorder="1" applyAlignment="1" applyProtection="1">
      <alignment vertical="center"/>
      <protection hidden="1"/>
    </xf>
    <xf numFmtId="4" fontId="66" fillId="7" borderId="116" xfId="0" applyNumberFormat="1" applyFont="1" applyFill="1" applyBorder="1" applyAlignment="1" applyProtection="1">
      <alignment vertical="center"/>
      <protection hidden="1"/>
    </xf>
    <xf numFmtId="0" fontId="64" fillId="18" borderId="121" xfId="0" applyFont="1" applyFill="1" applyBorder="1" applyAlignment="1" applyProtection="1">
      <alignment horizontal="left" vertical="center"/>
      <protection locked="0"/>
    </xf>
    <xf numFmtId="0" fontId="64" fillId="18" borderId="36" xfId="0" applyFont="1" applyFill="1" applyBorder="1" applyAlignment="1" applyProtection="1">
      <alignment horizontal="left" vertical="center"/>
      <protection locked="0"/>
    </xf>
    <xf numFmtId="43" fontId="64" fillId="18" borderId="36" xfId="0" applyNumberFormat="1" applyFont="1" applyFill="1" applyBorder="1" applyAlignment="1" applyProtection="1">
      <alignment horizontal="left" vertical="center"/>
      <protection locked="0"/>
    </xf>
    <xf numFmtId="43" fontId="66" fillId="0" borderId="129" xfId="4" applyFont="1" applyFill="1" applyBorder="1" applyAlignment="1" applyProtection="1">
      <alignment vertical="center"/>
      <protection hidden="1"/>
    </xf>
    <xf numFmtId="0" fontId="64" fillId="18" borderId="122" xfId="0" applyFont="1" applyFill="1" applyBorder="1" applyAlignment="1" applyProtection="1">
      <alignment horizontal="left" vertical="center"/>
      <protection locked="0"/>
    </xf>
    <xf numFmtId="0" fontId="64" fillId="18" borderId="123" xfId="0" applyFont="1" applyFill="1" applyBorder="1" applyAlignment="1" applyProtection="1">
      <alignment horizontal="left" vertical="center"/>
      <protection locked="0"/>
    </xf>
    <xf numFmtId="43" fontId="64" fillId="18" borderId="123" xfId="0" applyNumberFormat="1" applyFont="1" applyFill="1" applyBorder="1" applyAlignment="1" applyProtection="1">
      <alignment horizontal="left" vertical="center"/>
      <protection locked="0"/>
    </xf>
    <xf numFmtId="43" fontId="66" fillId="0" borderId="127" xfId="4" applyFont="1" applyFill="1" applyBorder="1" applyAlignment="1" applyProtection="1">
      <alignment vertical="center"/>
      <protection hidden="1"/>
    </xf>
    <xf numFmtId="199" fontId="84" fillId="11" borderId="83" xfId="0" applyNumberFormat="1" applyFont="1" applyFill="1" applyBorder="1" applyAlignment="1">
      <alignment horizontal="center" vertical="center"/>
    </xf>
    <xf numFmtId="189" fontId="85" fillId="11" borderId="83" xfId="0" applyNumberFormat="1" applyFont="1" applyFill="1" applyBorder="1" applyAlignment="1">
      <alignment horizontal="left" vertical="center"/>
    </xf>
    <xf numFmtId="0" fontId="2" fillId="0" borderId="0" xfId="0" applyFont="1" applyAlignment="1" applyProtection="1">
      <alignment vertical="center"/>
      <protection hidden="1"/>
    </xf>
    <xf numFmtId="0" fontId="72" fillId="0" borderId="63" xfId="0" applyFont="1" applyBorder="1" applyAlignment="1" applyProtection="1">
      <alignment horizontal="right" vertical="center"/>
      <protection hidden="1"/>
    </xf>
    <xf numFmtId="0" fontId="87" fillId="0" borderId="94" xfId="0" applyFont="1" applyBorder="1" applyAlignment="1" applyProtection="1">
      <alignment horizontal="center" vertical="center"/>
      <protection hidden="1"/>
    </xf>
    <xf numFmtId="0" fontId="72" fillId="0" borderId="25" xfId="0" applyFont="1" applyBorder="1" applyAlignment="1" applyProtection="1">
      <alignment horizontal="right" vertical="center"/>
      <protection hidden="1"/>
    </xf>
    <xf numFmtId="0" fontId="2" fillId="0" borderId="94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vertical="center"/>
      <protection hidden="1"/>
    </xf>
    <xf numFmtId="1" fontId="87" fillId="0" borderId="95" xfId="0" applyNumberFormat="1" applyFont="1" applyBorder="1" applyAlignment="1" applyProtection="1">
      <alignment horizontal="center" vertical="center"/>
      <protection hidden="1"/>
    </xf>
    <xf numFmtId="0" fontId="72" fillId="0" borderId="32" xfId="0" applyFont="1" applyBorder="1" applyAlignment="1" applyProtection="1">
      <alignment horizontal="right" vertical="center"/>
      <protection hidden="1"/>
    </xf>
    <xf numFmtId="0" fontId="87" fillId="0" borderId="10" xfId="0" applyFont="1" applyBorder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right" vertical="center"/>
      <protection hidden="1"/>
    </xf>
    <xf numFmtId="0" fontId="87" fillId="0" borderId="108" xfId="0" applyFont="1" applyBorder="1" applyAlignment="1" applyProtection="1">
      <alignment horizontal="center" vertical="center"/>
      <protection hidden="1"/>
    </xf>
    <xf numFmtId="0" fontId="87" fillId="0" borderId="96" xfId="0" applyFont="1" applyBorder="1" applyAlignment="1" applyProtection="1">
      <alignment vertical="center"/>
      <protection hidden="1"/>
    </xf>
    <xf numFmtId="0" fontId="72" fillId="0" borderId="22" xfId="0" applyFont="1" applyBorder="1" applyAlignment="1" applyProtection="1">
      <alignment horizontal="right" vertical="center"/>
      <protection hidden="1"/>
    </xf>
    <xf numFmtId="0" fontId="87" fillId="0" borderId="26" xfId="0" applyFont="1" applyBorder="1" applyAlignment="1" applyProtection="1">
      <alignment horizontal="left" vertical="center"/>
      <protection hidden="1"/>
    </xf>
    <xf numFmtId="0" fontId="87" fillId="0" borderId="38" xfId="0" applyFont="1" applyBorder="1" applyAlignment="1" applyProtection="1">
      <alignment horizontal="left" vertical="center"/>
      <protection hidden="1"/>
    </xf>
    <xf numFmtId="0" fontId="72" fillId="0" borderId="63" xfId="0" applyFont="1" applyBorder="1" applyAlignment="1" applyProtection="1">
      <alignment vertical="center"/>
      <protection hidden="1"/>
    </xf>
    <xf numFmtId="0" fontId="72" fillId="0" borderId="25" xfId="0" applyFont="1" applyBorder="1" applyAlignment="1" applyProtection="1">
      <alignment vertical="center"/>
      <protection hidden="1"/>
    </xf>
    <xf numFmtId="0" fontId="72" fillId="0" borderId="82" xfId="0" applyFont="1" applyBorder="1" applyAlignment="1" applyProtection="1">
      <alignment vertical="center"/>
      <protection hidden="1"/>
    </xf>
    <xf numFmtId="0" fontId="88" fillId="18" borderId="10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hidden="1"/>
    </xf>
    <xf numFmtId="14" fontId="88" fillId="18" borderId="33" xfId="0" applyNumberFormat="1" applyFont="1" applyFill="1" applyBorder="1" applyAlignment="1" applyProtection="1">
      <alignment horizontal="left" vertical="center"/>
      <protection locked="0"/>
    </xf>
    <xf numFmtId="0" fontId="88" fillId="18" borderId="0" xfId="0" applyFont="1" applyFill="1" applyAlignment="1" applyProtection="1">
      <alignment horizontal="left" vertical="center"/>
      <protection locked="0"/>
    </xf>
    <xf numFmtId="0" fontId="82" fillId="0" borderId="0" xfId="0" applyFont="1" applyAlignment="1" applyProtection="1">
      <alignment vertical="center"/>
      <protection hidden="1"/>
    </xf>
    <xf numFmtId="14" fontId="88" fillId="18" borderId="125" xfId="0" applyNumberFormat="1" applyFont="1" applyFill="1" applyBorder="1" applyAlignment="1" applyProtection="1">
      <alignment horizontal="left" vertical="center"/>
      <protection locked="0"/>
    </xf>
    <xf numFmtId="0" fontId="88" fillId="18" borderId="108" xfId="0" applyFont="1" applyFill="1" applyBorder="1" applyAlignment="1" applyProtection="1">
      <alignment horizontal="left" vertical="center"/>
      <protection locked="0"/>
    </xf>
    <xf numFmtId="14" fontId="88" fillId="0" borderId="33" xfId="0" applyNumberFormat="1" applyFont="1" applyBorder="1" applyAlignment="1" applyProtection="1">
      <alignment horizontal="left" vertical="center"/>
      <protection locked="0"/>
    </xf>
    <xf numFmtId="0" fontId="72" fillId="0" borderId="0" xfId="0" applyFont="1" applyAlignment="1" applyProtection="1">
      <alignment horizontal="right" vertical="center" wrapText="1"/>
      <protection hidden="1"/>
    </xf>
    <xf numFmtId="14" fontId="88" fillId="18" borderId="97" xfId="0" applyNumberFormat="1" applyFont="1" applyFill="1" applyBorder="1" applyAlignment="1" applyProtection="1">
      <alignment horizontal="left" vertical="center"/>
      <protection locked="0"/>
    </xf>
    <xf numFmtId="0" fontId="82" fillId="0" borderId="0" xfId="0" applyFont="1" applyAlignment="1" applyProtection="1">
      <alignment horizontal="right" vertical="center"/>
      <protection hidden="1"/>
    </xf>
    <xf numFmtId="0" fontId="89" fillId="0" borderId="126" xfId="0" applyFont="1" applyBorder="1" applyAlignment="1" applyProtection="1">
      <alignment horizontal="left" vertical="center"/>
      <protection hidden="1"/>
    </xf>
    <xf numFmtId="0" fontId="55" fillId="0" borderId="0" xfId="0" applyFont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vertical="center"/>
      <protection hidden="1"/>
    </xf>
    <xf numFmtId="0" fontId="2" fillId="0" borderId="26" xfId="0" applyFont="1" applyBorder="1" applyAlignment="1" applyProtection="1">
      <alignment horizontal="left" vertical="center"/>
      <protection hidden="1"/>
    </xf>
    <xf numFmtId="0" fontId="2" fillId="0" borderId="38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72" fillId="0" borderId="0" xfId="0" applyFont="1" applyAlignment="1" applyProtection="1">
      <alignment vertical="center"/>
      <protection hidden="1"/>
    </xf>
    <xf numFmtId="9" fontId="2" fillId="0" borderId="0" xfId="6" applyFont="1" applyFill="1" applyBorder="1" applyAlignment="1" applyProtection="1">
      <alignment horizontal="left" vertical="center"/>
      <protection hidden="1"/>
    </xf>
    <xf numFmtId="43" fontId="2" fillId="0" borderId="0" xfId="4" applyFont="1" applyFill="1" applyBorder="1" applyAlignment="1" applyProtection="1">
      <alignment horizontal="right" vertical="center"/>
      <protection hidden="1"/>
    </xf>
    <xf numFmtId="183" fontId="2" fillId="0" borderId="0" xfId="0" applyNumberFormat="1" applyFont="1" applyAlignment="1" applyProtection="1">
      <alignment vertical="center"/>
      <protection hidden="1"/>
    </xf>
    <xf numFmtId="43" fontId="2" fillId="0" borderId="0" xfId="4" applyFont="1" applyFill="1" applyBorder="1" applyAlignment="1" applyProtection="1">
      <alignment vertical="center"/>
      <protection hidden="1"/>
    </xf>
    <xf numFmtId="43" fontId="2" fillId="0" borderId="26" xfId="4" applyFont="1" applyFill="1" applyBorder="1" applyAlignment="1" applyProtection="1">
      <alignment vertical="center"/>
      <protection hidden="1"/>
    </xf>
    <xf numFmtId="3" fontId="2" fillId="0" borderId="0" xfId="0" applyNumberFormat="1" applyFont="1" applyAlignment="1" applyProtection="1">
      <alignment vertical="center"/>
      <protection hidden="1"/>
    </xf>
    <xf numFmtId="0" fontId="90" fillId="0" borderId="124" xfId="0" applyFont="1" applyBorder="1" applyAlignment="1" applyProtection="1">
      <alignment horizontal="center" vertical="center" wrapText="1"/>
      <protection hidden="1"/>
    </xf>
    <xf numFmtId="0" fontId="90" fillId="0" borderId="21" xfId="0" applyFont="1" applyBorder="1" applyAlignment="1" applyProtection="1">
      <alignment horizontal="center" vertical="center" wrapText="1"/>
      <protection hidden="1"/>
    </xf>
    <xf numFmtId="193" fontId="90" fillId="0" borderId="21" xfId="0" applyNumberFormat="1" applyFont="1" applyBorder="1" applyAlignment="1" applyProtection="1">
      <alignment horizontal="center" vertical="center" wrapText="1"/>
      <protection hidden="1"/>
    </xf>
    <xf numFmtId="193" fontId="67" fillId="0" borderId="21" xfId="0" applyNumberFormat="1" applyFont="1" applyBorder="1" applyAlignment="1" applyProtection="1">
      <alignment horizontal="center" vertical="center" wrapText="1"/>
      <protection hidden="1"/>
    </xf>
    <xf numFmtId="193" fontId="67" fillId="0" borderId="23" xfId="0" applyNumberFormat="1" applyFont="1" applyBorder="1" applyAlignment="1" applyProtection="1">
      <alignment horizontal="center" vertical="center" wrapText="1"/>
      <protection hidden="1"/>
    </xf>
    <xf numFmtId="0" fontId="90" fillId="0" borderId="24" xfId="8" applyFont="1" applyBorder="1" applyAlignment="1" applyProtection="1">
      <alignment horizontal="center" vertical="center" wrapText="1"/>
      <protection hidden="1"/>
    </xf>
    <xf numFmtId="43" fontId="67" fillId="0" borderId="101" xfId="4" applyFont="1" applyFill="1" applyBorder="1" applyAlignment="1" applyProtection="1">
      <alignment horizontal="right" vertical="center"/>
      <protection hidden="1"/>
    </xf>
    <xf numFmtId="9" fontId="7" fillId="0" borderId="0" xfId="6" applyFont="1" applyFill="1" applyBorder="1" applyAlignment="1" applyProtection="1">
      <alignment horizontal="left" vertical="center"/>
      <protection hidden="1"/>
    </xf>
    <xf numFmtId="43" fontId="7" fillId="0" borderId="0" xfId="4" applyFont="1" applyFill="1" applyBorder="1" applyAlignment="1" applyProtection="1">
      <alignment horizontal="right" vertical="center"/>
      <protection hidden="1"/>
    </xf>
    <xf numFmtId="183" fontId="7" fillId="0" borderId="0" xfId="0" applyNumberFormat="1" applyFont="1" applyAlignment="1" applyProtection="1">
      <alignment vertical="center"/>
      <protection hidden="1"/>
    </xf>
    <xf numFmtId="43" fontId="7" fillId="0" borderId="0" xfId="4" applyFont="1" applyFill="1" applyBorder="1" applyAlignment="1" applyProtection="1">
      <alignment vertical="center"/>
      <protection hidden="1"/>
    </xf>
    <xf numFmtId="193" fontId="90" fillId="0" borderId="47" xfId="0" applyNumberFormat="1" applyFont="1" applyBorder="1" applyAlignment="1" applyProtection="1">
      <alignment horizontal="center" vertical="center" wrapText="1"/>
      <protection hidden="1"/>
    </xf>
    <xf numFmtId="0" fontId="90" fillId="0" borderId="80" xfId="0" applyFont="1" applyBorder="1" applyAlignment="1" applyProtection="1">
      <alignment horizontal="center" vertical="center" wrapText="1"/>
      <protection hidden="1"/>
    </xf>
    <xf numFmtId="193" fontId="90" fillId="0" borderId="81" xfId="0" applyNumberFormat="1" applyFont="1" applyBorder="1" applyAlignment="1" applyProtection="1">
      <alignment horizontal="center" vertical="center" wrapText="1"/>
      <protection hidden="1"/>
    </xf>
    <xf numFmtId="193" fontId="90" fillId="0" borderId="80" xfId="0" applyNumberFormat="1" applyFont="1" applyBorder="1" applyAlignment="1" applyProtection="1">
      <alignment horizontal="center" vertical="center" wrapText="1"/>
      <protection hidden="1"/>
    </xf>
    <xf numFmtId="0" fontId="90" fillId="0" borderId="51" xfId="8" applyFont="1" applyBorder="1" applyAlignment="1" applyProtection="1">
      <alignment horizontal="center" vertical="center" wrapText="1"/>
      <protection hidden="1"/>
    </xf>
    <xf numFmtId="43" fontId="66" fillId="8" borderId="137" xfId="4" applyFont="1" applyFill="1" applyBorder="1" applyAlignment="1" applyProtection="1">
      <alignment horizontal="left" vertical="center"/>
      <protection locked="0"/>
    </xf>
    <xf numFmtId="0" fontId="64" fillId="18" borderId="120" xfId="0" applyFont="1" applyFill="1" applyBorder="1" applyAlignment="1" applyProtection="1">
      <alignment horizontal="left" vertical="center"/>
      <protection locked="0"/>
    </xf>
    <xf numFmtId="0" fontId="64" fillId="18" borderId="29" xfId="0" applyFont="1" applyFill="1" applyBorder="1" applyAlignment="1" applyProtection="1">
      <alignment vertical="center"/>
      <protection locked="0"/>
    </xf>
    <xf numFmtId="0" fontId="64" fillId="18" borderId="140" xfId="0" applyFont="1" applyFill="1" applyBorder="1" applyAlignment="1" applyProtection="1">
      <alignment vertical="center"/>
      <protection locked="0"/>
    </xf>
    <xf numFmtId="43" fontId="66" fillId="8" borderId="6" xfId="4" applyFont="1" applyFill="1" applyBorder="1" applyAlignment="1" applyProtection="1">
      <alignment horizontal="right" vertical="center"/>
      <protection locked="0"/>
    </xf>
    <xf numFmtId="43" fontId="66" fillId="8" borderId="121" xfId="4" applyFont="1" applyFill="1" applyBorder="1" applyAlignment="1" applyProtection="1">
      <alignment horizontal="left" vertical="center"/>
      <protection locked="0"/>
    </xf>
    <xf numFmtId="0" fontId="64" fillId="18" borderId="110" xfId="0" applyFont="1" applyFill="1" applyBorder="1" applyAlignment="1" applyProtection="1">
      <alignment vertical="center"/>
      <protection locked="0"/>
    </xf>
    <xf numFmtId="0" fontId="64" fillId="18" borderId="109" xfId="0" applyFont="1" applyFill="1" applyBorder="1" applyAlignment="1" applyProtection="1">
      <alignment vertical="center"/>
      <protection locked="0"/>
    </xf>
    <xf numFmtId="43" fontId="66" fillId="8" borderId="36" xfId="4" applyFont="1" applyFill="1" applyBorder="1" applyAlignment="1" applyProtection="1">
      <alignment horizontal="right" vertical="center"/>
      <protection locked="0"/>
    </xf>
    <xf numFmtId="43" fontId="66" fillId="8" borderId="119" xfId="4" applyFont="1" applyFill="1" applyBorder="1" applyAlignment="1" applyProtection="1">
      <alignment horizontal="left" vertical="center"/>
      <protection locked="0"/>
    </xf>
    <xf numFmtId="43" fontId="66" fillId="8" borderId="120" xfId="4" applyFont="1" applyFill="1" applyBorder="1" applyAlignment="1" applyProtection="1">
      <alignment horizontal="right" vertical="center"/>
      <protection locked="0"/>
    </xf>
    <xf numFmtId="43" fontId="66" fillId="8" borderId="124" xfId="4" applyFont="1" applyFill="1" applyBorder="1" applyAlignment="1" applyProtection="1">
      <alignment horizontal="left" vertical="center"/>
      <protection locked="0"/>
    </xf>
    <xf numFmtId="43" fontId="66" fillId="8" borderId="114" xfId="4" applyFont="1" applyFill="1" applyBorder="1" applyAlignment="1" applyProtection="1">
      <alignment horizontal="right" vertical="center"/>
      <protection locked="0"/>
    </xf>
    <xf numFmtId="43" fontId="67" fillId="0" borderId="31" xfId="4" applyFont="1" applyFill="1" applyBorder="1" applyAlignment="1" applyProtection="1">
      <alignment horizontal="right" vertical="center"/>
      <protection hidden="1"/>
    </xf>
    <xf numFmtId="0" fontId="62" fillId="0" borderId="50" xfId="0" applyFont="1" applyBorder="1" applyAlignment="1" applyProtection="1">
      <alignment vertical="center"/>
      <protection hidden="1"/>
    </xf>
    <xf numFmtId="0" fontId="7" fillId="18" borderId="51" xfId="0" applyFont="1" applyFill="1" applyBorder="1" applyAlignment="1" applyProtection="1">
      <alignment vertical="center"/>
      <protection locked="0"/>
    </xf>
    <xf numFmtId="0" fontId="91" fillId="0" borderId="0" xfId="0" applyFont="1" applyAlignment="1" applyProtection="1">
      <alignment horizontal="center" vertical="center"/>
      <protection hidden="1"/>
    </xf>
    <xf numFmtId="0" fontId="91" fillId="0" borderId="0" xfId="0" applyFont="1" applyAlignment="1" applyProtection="1">
      <alignment vertical="center"/>
      <protection hidden="1"/>
    </xf>
    <xf numFmtId="177" fontId="91" fillId="0" borderId="0" xfId="0" applyNumberFormat="1" applyFont="1" applyAlignment="1" applyProtection="1">
      <alignment vertical="center"/>
      <protection hidden="1"/>
    </xf>
    <xf numFmtId="0" fontId="91" fillId="0" borderId="0" xfId="0" applyFont="1" applyAlignment="1" applyProtection="1">
      <alignment horizontal="left" vertical="center"/>
      <protection hidden="1"/>
    </xf>
    <xf numFmtId="0" fontId="92" fillId="0" borderId="0" xfId="0" applyFont="1" applyAlignment="1" applyProtection="1">
      <alignment horizontal="center" vertical="center"/>
      <protection hidden="1"/>
    </xf>
    <xf numFmtId="0" fontId="72" fillId="0" borderId="47" xfId="0" applyFont="1" applyBorder="1" applyAlignment="1" applyProtection="1">
      <alignment vertical="center"/>
      <protection hidden="1"/>
    </xf>
    <xf numFmtId="0" fontId="72" fillId="0" borderId="83" xfId="0" applyFont="1" applyBorder="1" applyAlignment="1" applyProtection="1">
      <alignment vertical="center"/>
      <protection hidden="1"/>
    </xf>
    <xf numFmtId="0" fontId="72" fillId="0" borderId="75" xfId="0" applyFont="1" applyBorder="1" applyAlignment="1" applyProtection="1">
      <alignment vertical="center"/>
      <protection hidden="1"/>
    </xf>
    <xf numFmtId="0" fontId="72" fillId="0" borderId="26" xfId="0" applyFont="1" applyBorder="1" applyAlignment="1" applyProtection="1">
      <alignment vertical="center"/>
      <protection hidden="1"/>
    </xf>
    <xf numFmtId="0" fontId="2" fillId="0" borderId="10" xfId="0" applyFont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93" fillId="0" borderId="0" xfId="0" quotePrefix="1" applyFont="1" applyAlignment="1" applyProtection="1">
      <alignment vertical="center"/>
      <protection hidden="1"/>
    </xf>
    <xf numFmtId="164" fontId="62" fillId="2" borderId="0" xfId="0" applyNumberFormat="1" applyFont="1" applyFill="1" applyAlignment="1" applyProtection="1">
      <alignment horizontal="left" vertical="center"/>
      <protection hidden="1"/>
    </xf>
    <xf numFmtId="0" fontId="2" fillId="2" borderId="0" xfId="0" applyFont="1" applyFill="1"/>
    <xf numFmtId="0" fontId="2" fillId="0" borderId="0" xfId="0" applyFont="1"/>
    <xf numFmtId="0" fontId="82" fillId="2" borderId="0" xfId="0" applyFont="1" applyFill="1"/>
    <xf numFmtId="0" fontId="82" fillId="0" borderId="0" xfId="0" applyFont="1"/>
    <xf numFmtId="166" fontId="82" fillId="0" borderId="0" xfId="6" applyNumberFormat="1" applyFont="1" applyBorder="1"/>
    <xf numFmtId="1" fontId="82" fillId="0" borderId="0" xfId="0" applyNumberFormat="1" applyFont="1" applyAlignment="1">
      <alignment horizontal="left"/>
    </xf>
    <xf numFmtId="178" fontId="82" fillId="0" borderId="0" xfId="4" applyNumberFormat="1" applyFont="1" applyFill="1" applyBorder="1" applyAlignment="1">
      <alignment horizontal="left"/>
    </xf>
    <xf numFmtId="0" fontId="94" fillId="0" borderId="0" xfId="0" applyFont="1" applyAlignment="1">
      <alignment horizontal="left" vertical="center" wrapText="1"/>
    </xf>
    <xf numFmtId="0" fontId="95" fillId="2" borderId="0" xfId="0" applyFont="1" applyFill="1" applyProtection="1">
      <protection hidden="1"/>
    </xf>
    <xf numFmtId="173" fontId="72" fillId="0" borderId="0" xfId="0" applyNumberFormat="1" applyFont="1" applyAlignment="1">
      <alignment horizontal="left" vertical="center"/>
    </xf>
    <xf numFmtId="0" fontId="4" fillId="14" borderId="0" xfId="0" applyFont="1" applyFill="1" applyAlignment="1" applyProtection="1">
      <alignment vertical="center"/>
      <protection hidden="1"/>
    </xf>
    <xf numFmtId="0" fontId="96" fillId="14" borderId="0" xfId="9" applyFont="1" applyFill="1" applyAlignment="1" applyProtection="1">
      <alignment vertical="center"/>
      <protection hidden="1"/>
    </xf>
    <xf numFmtId="0" fontId="82" fillId="14" borderId="0" xfId="0" applyFont="1" applyFill="1" applyAlignment="1" applyProtection="1">
      <alignment vertical="center"/>
      <protection hidden="1"/>
    </xf>
    <xf numFmtId="164" fontId="62" fillId="14" borderId="0" xfId="0" applyNumberFormat="1" applyFont="1" applyFill="1" applyAlignment="1" applyProtection="1">
      <alignment horizontal="left" vertical="center"/>
      <protection hidden="1"/>
    </xf>
    <xf numFmtId="164" fontId="82" fillId="14" borderId="0" xfId="0" applyNumberFormat="1" applyFont="1" applyFill="1" applyAlignment="1" applyProtection="1">
      <alignment horizontal="center" vertical="center"/>
      <protection hidden="1"/>
    </xf>
    <xf numFmtId="0" fontId="20" fillId="8" borderId="69" xfId="0" applyFont="1" applyFill="1" applyBorder="1" applyAlignment="1" applyProtection="1">
      <alignment horizontal="left" vertical="center"/>
      <protection locked="0"/>
    </xf>
    <xf numFmtId="0" fontId="20" fillId="8" borderId="70" xfId="0" applyFont="1" applyFill="1" applyBorder="1" applyAlignment="1" applyProtection="1">
      <alignment horizontal="left" vertical="center"/>
      <protection locked="0"/>
    </xf>
    <xf numFmtId="0" fontId="3" fillId="0" borderId="102" xfId="0" applyFont="1" applyBorder="1" applyAlignment="1" applyProtection="1">
      <alignment horizontal="left" vertical="center"/>
      <protection hidden="1"/>
    </xf>
    <xf numFmtId="0" fontId="3" fillId="0" borderId="94" xfId="0" applyFont="1" applyBorder="1" applyAlignment="1" applyProtection="1">
      <alignment horizontal="left" vertical="center"/>
      <protection hidden="1"/>
    </xf>
    <xf numFmtId="0" fontId="3" fillId="0" borderId="95" xfId="0" applyFont="1" applyBorder="1" applyAlignment="1" applyProtection="1">
      <alignment horizontal="left" vertical="center"/>
      <protection hidden="1"/>
    </xf>
    <xf numFmtId="0" fontId="20" fillId="8" borderId="70" xfId="0" applyFont="1" applyFill="1" applyBorder="1" applyAlignment="1" applyProtection="1">
      <alignment horizontal="left" vertical="center"/>
      <protection locked="0" hidden="1"/>
    </xf>
    <xf numFmtId="0" fontId="8" fillId="11" borderId="101" xfId="0" applyFont="1" applyFill="1" applyBorder="1" applyAlignment="1" applyProtection="1">
      <alignment horizontal="center" vertical="center" wrapText="1"/>
      <protection hidden="1"/>
    </xf>
    <xf numFmtId="0" fontId="8" fillId="11" borderId="100" xfId="0" applyFont="1" applyFill="1" applyBorder="1" applyAlignment="1" applyProtection="1">
      <alignment horizontal="center" vertical="center" wrapText="1"/>
      <protection hidden="1"/>
    </xf>
    <xf numFmtId="207" fontId="4" fillId="0" borderId="0" xfId="0" applyNumberFormat="1" applyFont="1" applyAlignment="1">
      <alignment vertical="center"/>
    </xf>
    <xf numFmtId="205" fontId="3" fillId="14" borderId="75" xfId="0" applyNumberFormat="1" applyFont="1" applyFill="1" applyBorder="1" applyAlignment="1">
      <alignment horizontal="right" vertical="center"/>
    </xf>
    <xf numFmtId="43" fontId="54" fillId="0" borderId="0" xfId="4" applyFont="1" applyFill="1" applyBorder="1" applyAlignment="1" applyProtection="1">
      <alignment horizontal="right" vertical="center"/>
      <protection hidden="1"/>
    </xf>
    <xf numFmtId="43" fontId="52" fillId="0" borderId="0" xfId="4" applyFont="1" applyFill="1" applyBorder="1" applyAlignment="1" applyProtection="1">
      <alignment vertical="center"/>
      <protection hidden="1"/>
    </xf>
    <xf numFmtId="4" fontId="3" fillId="0" borderId="0" xfId="4" applyNumberFormat="1" applyFont="1" applyFill="1" applyBorder="1" applyAlignment="1" applyProtection="1">
      <alignment vertical="center"/>
      <protection hidden="1"/>
    </xf>
    <xf numFmtId="10" fontId="3" fillId="17" borderId="64" xfId="0" applyNumberFormat="1" applyFont="1" applyFill="1" applyBorder="1" applyAlignment="1">
      <alignment vertical="center"/>
    </xf>
    <xf numFmtId="10" fontId="3" fillId="22" borderId="83" xfId="0" applyNumberFormat="1" applyFont="1" applyFill="1" applyBorder="1" applyAlignment="1">
      <alignment vertical="center"/>
    </xf>
    <xf numFmtId="4" fontId="50" fillId="17" borderId="75" xfId="0" applyNumberFormat="1" applyFont="1" applyFill="1" applyBorder="1" applyAlignment="1" applyProtection="1">
      <alignment horizontal="right" vertical="center"/>
      <protection hidden="1"/>
    </xf>
    <xf numFmtId="208" fontId="4" fillId="0" borderId="0" xfId="0" applyNumberFormat="1" applyFont="1" applyAlignment="1">
      <alignment vertical="center"/>
    </xf>
    <xf numFmtId="209" fontId="4" fillId="0" borderId="0" xfId="0" applyNumberFormat="1" applyFont="1" applyAlignment="1">
      <alignment vertical="center"/>
    </xf>
    <xf numFmtId="0" fontId="3" fillId="7" borderId="25" xfId="0" applyFont="1" applyFill="1" applyBorder="1" applyAlignment="1" applyProtection="1">
      <alignment horizontal="center" vertical="center"/>
      <protection hidden="1"/>
    </xf>
    <xf numFmtId="210" fontId="4" fillId="0" borderId="0" xfId="0" applyNumberFormat="1" applyFont="1" applyAlignment="1">
      <alignment vertical="center"/>
    </xf>
    <xf numFmtId="43" fontId="47" fillId="0" borderId="118" xfId="4" applyFont="1" applyFill="1" applyBorder="1" applyAlignment="1" applyProtection="1">
      <alignment horizontal="right" vertical="center"/>
      <protection hidden="1"/>
    </xf>
    <xf numFmtId="3" fontId="30" fillId="17" borderId="115" xfId="0" applyNumberFormat="1" applyFont="1" applyFill="1" applyBorder="1" applyAlignment="1" applyProtection="1">
      <alignment vertical="center"/>
      <protection hidden="1"/>
    </xf>
    <xf numFmtId="0" fontId="54" fillId="0" borderId="29" xfId="0" applyFont="1" applyBorder="1" applyAlignment="1" applyProtection="1">
      <alignment horizontal="right" vertical="center"/>
      <protection hidden="1"/>
    </xf>
    <xf numFmtId="43" fontId="54" fillId="0" borderId="26" xfId="4" applyFont="1" applyFill="1" applyBorder="1" applyAlignment="1" applyProtection="1">
      <alignment horizontal="right" vertical="center"/>
      <protection hidden="1"/>
    </xf>
    <xf numFmtId="0" fontId="20" fillId="8" borderId="108" xfId="0" applyFont="1" applyFill="1" applyBorder="1" applyAlignment="1" applyProtection="1">
      <alignment horizontal="left" vertical="center"/>
      <protection locked="0" hidden="1"/>
    </xf>
    <xf numFmtId="0" fontId="4" fillId="0" borderId="108" xfId="0" applyFont="1" applyBorder="1" applyAlignment="1" applyProtection="1">
      <alignment vertical="center"/>
      <protection hidden="1"/>
    </xf>
    <xf numFmtId="0" fontId="4" fillId="0" borderId="10" xfId="0" applyFont="1" applyBorder="1" applyAlignment="1" applyProtection="1">
      <alignment vertical="center"/>
      <protection hidden="1"/>
    </xf>
    <xf numFmtId="0" fontId="20" fillId="8" borderId="108" xfId="0" applyFont="1" applyFill="1" applyBorder="1" applyAlignment="1" applyProtection="1">
      <alignment horizontal="left" vertical="center"/>
      <protection locked="0"/>
    </xf>
    <xf numFmtId="0" fontId="49" fillId="18" borderId="108" xfId="0" applyFont="1" applyFill="1" applyBorder="1" applyAlignment="1" applyProtection="1">
      <alignment vertical="center"/>
      <protection locked="0"/>
    </xf>
    <xf numFmtId="0" fontId="49" fillId="18" borderId="96" xfId="0" applyFont="1" applyFill="1" applyBorder="1" applyAlignment="1" applyProtection="1">
      <alignment vertical="center"/>
      <protection locked="0"/>
    </xf>
    <xf numFmtId="0" fontId="30" fillId="0" borderId="83" xfId="0" applyFont="1" applyBorder="1" applyAlignment="1" applyProtection="1">
      <alignment vertical="center"/>
      <protection hidden="1"/>
    </xf>
    <xf numFmtId="0" fontId="3" fillId="7" borderId="155" xfId="0" applyFont="1" applyFill="1" applyBorder="1" applyAlignment="1" applyProtection="1">
      <alignment horizontal="center" vertical="center"/>
      <protection hidden="1"/>
    </xf>
    <xf numFmtId="4" fontId="3" fillId="7" borderId="156" xfId="0" applyNumberFormat="1" applyFont="1" applyFill="1" applyBorder="1" applyAlignment="1" applyProtection="1">
      <alignment horizontal="center" vertical="center"/>
      <protection hidden="1"/>
    </xf>
    <xf numFmtId="0" fontId="52" fillId="7" borderId="155" xfId="0" applyFont="1" applyFill="1" applyBorder="1" applyAlignment="1" applyProtection="1">
      <alignment horizontal="center" vertical="center"/>
      <protection hidden="1"/>
    </xf>
    <xf numFmtId="4" fontId="52" fillId="7" borderId="156" xfId="0" applyNumberFormat="1" applyFont="1" applyFill="1" applyBorder="1" applyAlignment="1" applyProtection="1">
      <alignment horizontal="center" vertical="center"/>
      <protection hidden="1"/>
    </xf>
    <xf numFmtId="0" fontId="3" fillId="17" borderId="83" xfId="0" applyFont="1" applyFill="1" applyBorder="1" applyAlignment="1" applyProtection="1">
      <alignment vertical="center"/>
      <protection hidden="1"/>
    </xf>
    <xf numFmtId="206" fontId="3" fillId="0" borderId="40" xfId="6" applyNumberFormat="1" applyFont="1" applyFill="1" applyBorder="1" applyAlignment="1" applyProtection="1">
      <alignment horizontal="right" vertical="center"/>
    </xf>
    <xf numFmtId="0" fontId="3" fillId="6" borderId="3" xfId="0" applyFont="1" applyFill="1" applyBorder="1" applyAlignment="1" applyProtection="1">
      <alignment horizontal="center" vertical="center"/>
      <protection hidden="1"/>
    </xf>
    <xf numFmtId="43" fontId="4" fillId="18" borderId="45" xfId="4" applyFont="1" applyFill="1" applyBorder="1" applyAlignment="1" applyProtection="1">
      <alignment horizontal="right" vertical="center"/>
      <protection locked="0"/>
    </xf>
    <xf numFmtId="4" fontId="20" fillId="10" borderId="81" xfId="0" applyNumberFormat="1" applyFont="1" applyFill="1" applyBorder="1" applyAlignment="1" applyProtection="1">
      <alignment horizontal="right" vertical="center"/>
      <protection hidden="1"/>
    </xf>
    <xf numFmtId="0" fontId="4" fillId="0" borderId="100" xfId="0" applyFont="1" applyBorder="1" applyAlignment="1" applyProtection="1">
      <alignment vertical="center"/>
      <protection hidden="1"/>
    </xf>
    <xf numFmtId="4" fontId="3" fillId="7" borderId="157" xfId="4" applyNumberFormat="1" applyFont="1" applyFill="1" applyBorder="1" applyAlignment="1" applyProtection="1">
      <alignment vertical="center"/>
      <protection hidden="1"/>
    </xf>
    <xf numFmtId="10" fontId="3" fillId="0" borderId="0" xfId="0" applyNumberFormat="1" applyFont="1" applyAlignment="1" applyProtection="1">
      <alignment horizontal="right" vertical="center"/>
      <protection locked="0"/>
    </xf>
    <xf numFmtId="10" fontId="3" fillId="20" borderId="40" xfId="0" applyNumberFormat="1" applyFont="1" applyFill="1" applyBorder="1" applyAlignment="1">
      <alignment vertical="center"/>
    </xf>
    <xf numFmtId="10" fontId="3" fillId="0" borderId="0" xfId="0" applyNumberFormat="1" applyFont="1" applyAlignment="1">
      <alignment horizontal="right" vertical="center"/>
    </xf>
    <xf numFmtId="10" fontId="3" fillId="8" borderId="75" xfId="0" applyNumberFormat="1" applyFont="1" applyFill="1" applyBorder="1" applyAlignment="1">
      <alignment horizontal="center" vertical="center"/>
    </xf>
    <xf numFmtId="211" fontId="20" fillId="8" borderId="69" xfId="0" applyNumberFormat="1" applyFont="1" applyFill="1" applyBorder="1" applyAlignment="1" applyProtection="1">
      <alignment horizontal="left" vertical="center"/>
      <protection locked="0" hidden="1"/>
    </xf>
    <xf numFmtId="212" fontId="4" fillId="0" borderId="0" xfId="0" applyNumberFormat="1" applyFont="1" applyAlignment="1" applyProtection="1">
      <alignment vertical="center"/>
      <protection hidden="1"/>
    </xf>
    <xf numFmtId="183" fontId="29" fillId="8" borderId="158" xfId="0" applyNumberFormat="1" applyFont="1" applyFill="1" applyBorder="1" applyAlignment="1" applyProtection="1">
      <alignment vertical="center"/>
      <protection locked="0"/>
    </xf>
    <xf numFmtId="183" fontId="29" fillId="0" borderId="27" xfId="0" applyNumberFormat="1" applyFont="1" applyBorder="1" applyAlignment="1" applyProtection="1">
      <alignment vertical="center"/>
      <protection locked="0"/>
    </xf>
    <xf numFmtId="205" fontId="3" fillId="14" borderId="40" xfId="0" applyNumberFormat="1" applyFont="1" applyFill="1" applyBorder="1" applyAlignment="1">
      <alignment horizontal="right" vertical="center"/>
    </xf>
    <xf numFmtId="166" fontId="13" fillId="0" borderId="162" xfId="0" applyNumberFormat="1" applyFont="1" applyBorder="1"/>
    <xf numFmtId="166" fontId="13" fillId="0" borderId="163" xfId="0" applyNumberFormat="1" applyFont="1" applyBorder="1"/>
    <xf numFmtId="166" fontId="13" fillId="0" borderId="164" xfId="0" applyNumberFormat="1" applyFont="1" applyBorder="1"/>
    <xf numFmtId="166" fontId="13" fillId="0" borderId="165" xfId="0" applyNumberFormat="1" applyFont="1" applyBorder="1"/>
    <xf numFmtId="166" fontId="13" fillId="0" borderId="166" xfId="0" applyNumberFormat="1" applyFont="1" applyBorder="1"/>
    <xf numFmtId="166" fontId="13" fillId="0" borderId="167" xfId="0" applyNumberFormat="1" applyFont="1" applyBorder="1"/>
    <xf numFmtId="166" fontId="13" fillId="0" borderId="168" xfId="0" applyNumberFormat="1" applyFont="1" applyBorder="1"/>
    <xf numFmtId="166" fontId="13" fillId="0" borderId="169" xfId="0" applyNumberFormat="1" applyFont="1" applyBorder="1"/>
    <xf numFmtId="166" fontId="13" fillId="0" borderId="170" xfId="0" applyNumberFormat="1" applyFont="1" applyBorder="1"/>
    <xf numFmtId="188" fontId="3" fillId="0" borderId="0" xfId="0" applyNumberFormat="1" applyFont="1" applyAlignment="1">
      <alignment horizontal="left"/>
    </xf>
    <xf numFmtId="171" fontId="13" fillId="0" borderId="44" xfId="0" applyNumberFormat="1" applyFont="1" applyBorder="1"/>
    <xf numFmtId="171" fontId="13" fillId="0" borderId="141" xfId="0" applyNumberFormat="1" applyFont="1" applyBorder="1"/>
    <xf numFmtId="171" fontId="13" fillId="0" borderId="85" xfId="0" applyNumberFormat="1" applyFont="1" applyBorder="1"/>
    <xf numFmtId="171" fontId="13" fillId="0" borderId="142" xfId="0" applyNumberFormat="1" applyFont="1" applyBorder="1"/>
    <xf numFmtId="189" fontId="3" fillId="0" borderId="0" xfId="0" applyNumberFormat="1" applyFont="1" applyAlignment="1">
      <alignment horizontal="right"/>
    </xf>
    <xf numFmtId="213" fontId="4" fillId="0" borderId="0" xfId="0" applyNumberFormat="1" applyFont="1" applyAlignment="1" applyProtection="1">
      <alignment vertical="center"/>
      <protection hidden="1"/>
    </xf>
    <xf numFmtId="0" fontId="64" fillId="18" borderId="119" xfId="0" applyFont="1" applyFill="1" applyBorder="1" applyAlignment="1" applyProtection="1">
      <alignment horizontal="left" vertical="center"/>
      <protection locked="0"/>
    </xf>
    <xf numFmtId="0" fontId="64" fillId="18" borderId="58" xfId="0" applyFont="1" applyFill="1" applyBorder="1" applyAlignment="1" applyProtection="1">
      <alignment horizontal="left" vertical="center"/>
      <protection locked="0"/>
    </xf>
    <xf numFmtId="0" fontId="64" fillId="18" borderId="111" xfId="0" applyFont="1" applyFill="1" applyBorder="1" applyAlignment="1" applyProtection="1">
      <alignment horizontal="left" vertical="center"/>
      <protection locked="0"/>
    </xf>
    <xf numFmtId="0" fontId="64" fillId="18" borderId="82" xfId="8" applyFont="1" applyFill="1" applyBorder="1" applyAlignment="1" applyProtection="1">
      <alignment vertical="center"/>
      <protection locked="0"/>
    </xf>
    <xf numFmtId="0" fontId="64" fillId="18" borderId="78" xfId="8" applyFont="1" applyFill="1" applyBorder="1" applyAlignment="1" applyProtection="1">
      <alignment vertical="center"/>
      <protection locked="0"/>
    </xf>
    <xf numFmtId="0" fontId="64" fillId="18" borderId="38" xfId="8" applyFont="1" applyFill="1" applyBorder="1" applyAlignment="1" applyProtection="1">
      <alignment vertical="center"/>
      <protection locked="0"/>
    </xf>
    <xf numFmtId="43" fontId="65" fillId="18" borderId="111" xfId="4" applyFont="1" applyFill="1" applyBorder="1" applyAlignment="1" applyProtection="1">
      <alignment vertical="center"/>
      <protection hidden="1"/>
    </xf>
    <xf numFmtId="4" fontId="66" fillId="7" borderId="136" xfId="0" applyNumberFormat="1" applyFont="1" applyFill="1" applyBorder="1" applyAlignment="1" applyProtection="1">
      <alignment vertical="center"/>
      <protection hidden="1"/>
    </xf>
    <xf numFmtId="4" fontId="66" fillId="7" borderId="171" xfId="0" applyNumberFormat="1" applyFont="1" applyFill="1" applyBorder="1" applyAlignment="1" applyProtection="1">
      <alignment vertical="center"/>
      <protection hidden="1"/>
    </xf>
    <xf numFmtId="193" fontId="90" fillId="0" borderId="5" xfId="0" applyNumberFormat="1" applyFont="1" applyBorder="1" applyAlignment="1" applyProtection="1">
      <alignment horizontal="center" vertical="center" wrapText="1"/>
      <protection hidden="1"/>
    </xf>
    <xf numFmtId="43" fontId="66" fillId="17" borderId="127" xfId="4" applyFont="1" applyFill="1" applyBorder="1" applyAlignment="1" applyProtection="1">
      <alignment vertical="center"/>
      <protection hidden="1"/>
    </xf>
    <xf numFmtId="43" fontId="66" fillId="17" borderId="111" xfId="4" applyFont="1" applyFill="1" applyBorder="1" applyAlignment="1" applyProtection="1">
      <alignment vertical="center"/>
      <protection hidden="1"/>
    </xf>
    <xf numFmtId="43" fontId="66" fillId="17" borderId="7" xfId="4" applyFont="1" applyFill="1" applyBorder="1" applyAlignment="1" applyProtection="1">
      <alignment vertical="center"/>
      <protection hidden="1"/>
    </xf>
    <xf numFmtId="43" fontId="66" fillId="17" borderId="115" xfId="4" applyFont="1" applyFill="1" applyBorder="1" applyAlignment="1" applyProtection="1">
      <alignment vertical="center"/>
      <protection hidden="1"/>
    </xf>
    <xf numFmtId="0" fontId="64" fillId="18" borderId="30" xfId="8" applyFont="1" applyFill="1" applyBorder="1" applyAlignment="1" applyProtection="1">
      <alignment vertical="center"/>
      <protection locked="0"/>
    </xf>
    <xf numFmtId="0" fontId="64" fillId="18" borderId="139" xfId="8" applyFont="1" applyFill="1" applyBorder="1" applyAlignment="1" applyProtection="1">
      <alignment vertical="center"/>
      <protection locked="0"/>
    </xf>
    <xf numFmtId="193" fontId="90" fillId="0" borderId="25" xfId="8" applyNumberFormat="1" applyFont="1" applyBorder="1" applyAlignment="1" applyProtection="1">
      <alignment horizontal="center" vertical="center" wrapText="1"/>
      <protection hidden="1"/>
    </xf>
    <xf numFmtId="0" fontId="3" fillId="7" borderId="101" xfId="0" applyFont="1" applyFill="1" applyBorder="1" applyAlignment="1" applyProtection="1">
      <alignment horizontal="right" vertical="center"/>
      <protection hidden="1"/>
    </xf>
    <xf numFmtId="4" fontId="29" fillId="7" borderId="136" xfId="0" applyNumberFormat="1" applyFont="1" applyFill="1" applyBorder="1" applyAlignment="1" applyProtection="1">
      <alignment vertical="center"/>
      <protection hidden="1"/>
    </xf>
    <xf numFmtId="4" fontId="29" fillId="7" borderId="116" xfId="0" applyNumberFormat="1" applyFont="1" applyFill="1" applyBorder="1" applyAlignment="1" applyProtection="1">
      <alignment vertical="center"/>
      <protection hidden="1"/>
    </xf>
    <xf numFmtId="4" fontId="29" fillId="7" borderId="171" xfId="0" applyNumberFormat="1" applyFont="1" applyFill="1" applyBorder="1" applyAlignment="1" applyProtection="1">
      <alignment vertical="center"/>
      <protection hidden="1"/>
    </xf>
    <xf numFmtId="0" fontId="3" fillId="19" borderId="101" xfId="0" applyFont="1" applyFill="1" applyBorder="1" applyAlignment="1" applyProtection="1">
      <alignment horizontal="right" vertical="center"/>
      <protection hidden="1"/>
    </xf>
    <xf numFmtId="43" fontId="4" fillId="0" borderId="172" xfId="4" applyFont="1" applyFill="1" applyBorder="1" applyAlignment="1" applyProtection="1">
      <alignment vertical="center"/>
      <protection hidden="1"/>
    </xf>
    <xf numFmtId="43" fontId="4" fillId="0" borderId="173" xfId="4" applyFont="1" applyFill="1" applyBorder="1" applyAlignment="1" applyProtection="1">
      <alignment vertical="center"/>
      <protection hidden="1"/>
    </xf>
    <xf numFmtId="0" fontId="3" fillId="7" borderId="100" xfId="0" applyFont="1" applyFill="1" applyBorder="1" applyAlignment="1" applyProtection="1">
      <alignment horizontal="right" vertical="center"/>
      <protection hidden="1"/>
    </xf>
    <xf numFmtId="0" fontId="4" fillId="18" borderId="69" xfId="0" applyFont="1" applyFill="1" applyBorder="1" applyAlignment="1" applyProtection="1">
      <alignment horizontal="left" vertical="center"/>
      <protection locked="0"/>
    </xf>
    <xf numFmtId="0" fontId="4" fillId="18" borderId="67" xfId="0" applyFont="1" applyFill="1" applyBorder="1" applyAlignment="1" applyProtection="1">
      <alignment horizontal="left" vertical="center"/>
      <protection locked="0"/>
    </xf>
    <xf numFmtId="200" fontId="87" fillId="0" borderId="10" xfId="0" applyNumberFormat="1" applyFont="1" applyBorder="1" applyAlignment="1" applyProtection="1">
      <alignment horizontal="center" vertical="center"/>
      <protection hidden="1"/>
    </xf>
    <xf numFmtId="200" fontId="87" fillId="0" borderId="125" xfId="0" applyNumberFormat="1" applyFont="1" applyBorder="1" applyAlignment="1" applyProtection="1">
      <alignment horizontal="center" vertical="center"/>
      <protection hidden="1"/>
    </xf>
    <xf numFmtId="49" fontId="1" fillId="24" borderId="174" xfId="0" applyNumberFormat="1" applyFont="1" applyFill="1" applyBorder="1"/>
    <xf numFmtId="49" fontId="1" fillId="0" borderId="174" xfId="0" applyNumberFormat="1" applyFont="1" applyBorder="1"/>
    <xf numFmtId="49" fontId="24" fillId="0" borderId="97" xfId="0" applyNumberFormat="1" applyFont="1" applyBorder="1" applyAlignment="1" applyProtection="1">
      <alignment horizontal="left" vertical="center"/>
      <protection locked="0"/>
    </xf>
    <xf numFmtId="0" fontId="8" fillId="11" borderId="63" xfId="0" applyFont="1" applyFill="1" applyBorder="1" applyAlignment="1" applyProtection="1">
      <alignment horizontal="center" vertical="center" wrapText="1"/>
      <protection hidden="1"/>
    </xf>
    <xf numFmtId="0" fontId="0" fillId="0" borderId="82" xfId="0" applyBorder="1" applyAlignment="1">
      <alignment vertical="center"/>
    </xf>
    <xf numFmtId="0" fontId="8" fillId="11" borderId="32" xfId="0" applyFont="1" applyFill="1" applyBorder="1" applyAlignment="1" applyProtection="1">
      <alignment horizontal="center" vertical="center" wrapText="1"/>
      <protection hidden="1"/>
    </xf>
    <xf numFmtId="0" fontId="0" fillId="0" borderId="33" xfId="0" applyBorder="1" applyAlignment="1">
      <alignment vertical="center"/>
    </xf>
    <xf numFmtId="4" fontId="45" fillId="14" borderId="32" xfId="0" applyNumberFormat="1" applyFont="1" applyFill="1" applyBorder="1" applyAlignment="1" applyProtection="1">
      <alignment horizontal="center" vertical="center"/>
      <protection hidden="1"/>
    </xf>
    <xf numFmtId="4" fontId="45" fillId="14" borderId="22" xfId="0" applyNumberFormat="1" applyFont="1" applyFill="1" applyBorder="1" applyAlignment="1" applyProtection="1">
      <alignment horizontal="center" vertical="center"/>
      <protection hidden="1"/>
    </xf>
    <xf numFmtId="0" fontId="0" fillId="0" borderId="38" xfId="0" applyBorder="1" applyAlignment="1">
      <alignment vertical="center"/>
    </xf>
    <xf numFmtId="4" fontId="20" fillId="10" borderId="154" xfId="0" applyNumberFormat="1" applyFont="1" applyFill="1" applyBorder="1" applyAlignment="1" applyProtection="1">
      <alignment horizontal="right" vertical="center"/>
      <protection hidden="1"/>
    </xf>
    <xf numFmtId="0" fontId="0" fillId="0" borderId="105" xfId="0" applyBorder="1" applyAlignment="1">
      <alignment horizontal="right" vertical="center"/>
    </xf>
    <xf numFmtId="0" fontId="16" fillId="0" borderId="28" xfId="0" applyFont="1" applyBorder="1" applyAlignment="1" applyProtection="1">
      <alignment horizontal="right" vertical="center"/>
      <protection hidden="1"/>
    </xf>
    <xf numFmtId="0" fontId="0" fillId="0" borderId="140" xfId="0" applyBorder="1" applyAlignment="1">
      <alignment horizontal="right" vertical="center"/>
    </xf>
    <xf numFmtId="43" fontId="16" fillId="8" borderId="46" xfId="4" applyFont="1" applyFill="1" applyBorder="1" applyAlignment="1" applyProtection="1">
      <alignment horizontal="right" vertical="center"/>
      <protection locked="0"/>
    </xf>
    <xf numFmtId="49" fontId="21" fillId="0" borderId="8" xfId="0" applyNumberFormat="1" applyFont="1" applyBorder="1" applyAlignment="1" applyProtection="1">
      <alignment vertical="center"/>
      <protection locked="0"/>
    </xf>
    <xf numFmtId="0" fontId="0" fillId="0" borderId="8" xfId="0" applyBorder="1" applyAlignment="1">
      <alignment vertical="center"/>
    </xf>
    <xf numFmtId="0" fontId="3" fillId="18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4" fontId="4" fillId="0" borderId="83" xfId="0" applyNumberFormat="1" applyFont="1" applyBorder="1" applyAlignment="1" applyProtection="1">
      <alignment vertical="center"/>
      <protection hidden="1"/>
    </xf>
    <xf numFmtId="0" fontId="0" fillId="0" borderId="83" xfId="0" applyBorder="1" applyAlignment="1">
      <alignment vertical="center"/>
    </xf>
    <xf numFmtId="0" fontId="4" fillId="0" borderId="83" xfId="0" applyFont="1" applyBorder="1" applyAlignment="1" applyProtection="1">
      <alignment vertical="center"/>
      <protection hidden="1"/>
    </xf>
    <xf numFmtId="49" fontId="24" fillId="0" borderId="25" xfId="0" applyNumberFormat="1" applyFont="1" applyBorder="1" applyAlignment="1" applyProtection="1">
      <alignment horizontal="center" vertical="center"/>
      <protection locked="0"/>
    </xf>
    <xf numFmtId="0" fontId="0" fillId="0" borderId="25" xfId="0" applyBorder="1" applyAlignment="1">
      <alignment horizontal="center" vertical="center"/>
    </xf>
    <xf numFmtId="49" fontId="24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49" fontId="3" fillId="0" borderId="96" xfId="0" applyNumberFormat="1" applyFont="1" applyBorder="1" applyAlignment="1" applyProtection="1">
      <alignment horizontal="right" vertical="center"/>
      <protection locked="0"/>
    </xf>
    <xf numFmtId="0" fontId="0" fillId="0" borderId="96" xfId="0" applyBorder="1" applyAlignment="1">
      <alignment horizontal="right" vertical="center"/>
    </xf>
    <xf numFmtId="49" fontId="34" fillId="0" borderId="96" xfId="0" applyNumberFormat="1" applyFont="1" applyBorder="1" applyAlignment="1" applyProtection="1">
      <alignment horizontal="center" vertical="center"/>
      <protection locked="0"/>
    </xf>
    <xf numFmtId="0" fontId="0" fillId="0" borderId="96" xfId="0" applyBorder="1" applyAlignment="1">
      <alignment horizontal="center" vertical="center"/>
    </xf>
    <xf numFmtId="0" fontId="47" fillId="18" borderId="83" xfId="0" applyFont="1" applyFill="1" applyBorder="1" applyAlignment="1" applyProtection="1">
      <alignment horizontal="left" vertical="center"/>
      <protection locked="0" hidden="1"/>
    </xf>
    <xf numFmtId="0" fontId="47" fillId="18" borderId="75" xfId="0" applyFont="1" applyFill="1" applyBorder="1" applyAlignment="1" applyProtection="1">
      <alignment horizontal="left" vertical="center"/>
      <protection locked="0" hidden="1"/>
    </xf>
    <xf numFmtId="0" fontId="40" fillId="7" borderId="47" xfId="0" applyFont="1" applyFill="1" applyBorder="1" applyAlignment="1" applyProtection="1">
      <alignment horizontal="right" vertical="center"/>
      <protection hidden="1"/>
    </xf>
    <xf numFmtId="0" fontId="40" fillId="7" borderId="83" xfId="0" applyFont="1" applyFill="1" applyBorder="1" applyAlignment="1" applyProtection="1">
      <alignment horizontal="right" vertical="center"/>
      <protection hidden="1"/>
    </xf>
    <xf numFmtId="0" fontId="40" fillId="8" borderId="83" xfId="0" applyFont="1" applyFill="1" applyBorder="1" applyAlignment="1" applyProtection="1">
      <alignment horizontal="left" vertical="center"/>
      <protection locked="0"/>
    </xf>
    <xf numFmtId="0" fontId="40" fillId="8" borderId="75" xfId="0" applyFont="1" applyFill="1" applyBorder="1" applyAlignment="1" applyProtection="1">
      <alignment horizontal="left" vertical="center"/>
      <protection locked="0"/>
    </xf>
    <xf numFmtId="0" fontId="3" fillId="5" borderId="77" xfId="0" applyFont="1" applyFill="1" applyBorder="1" applyAlignment="1" applyProtection="1">
      <alignment horizontal="center" vertical="center"/>
      <protection hidden="1"/>
    </xf>
    <xf numFmtId="0" fontId="3" fillId="5" borderId="109" xfId="0" applyFont="1" applyFill="1" applyBorder="1" applyAlignment="1" applyProtection="1">
      <alignment horizontal="center" vertical="center"/>
      <protection hidden="1"/>
    </xf>
    <xf numFmtId="0" fontId="3" fillId="5" borderId="28" xfId="0" applyFont="1" applyFill="1" applyBorder="1" applyAlignment="1" applyProtection="1">
      <alignment horizontal="center" vertical="center"/>
      <protection hidden="1"/>
    </xf>
    <xf numFmtId="0" fontId="3" fillId="5" borderId="29" xfId="0" applyFont="1" applyFill="1" applyBorder="1" applyAlignment="1" applyProtection="1">
      <alignment horizontal="center" vertical="center"/>
      <protection hidden="1"/>
    </xf>
    <xf numFmtId="0" fontId="3" fillId="5" borderId="30" xfId="0" applyFont="1" applyFill="1" applyBorder="1" applyAlignment="1" applyProtection="1">
      <alignment horizontal="center" vertical="center"/>
      <protection hidden="1"/>
    </xf>
    <xf numFmtId="0" fontId="3" fillId="6" borderId="28" xfId="0" applyFont="1" applyFill="1" applyBorder="1" applyAlignment="1" applyProtection="1">
      <alignment horizontal="center" vertical="center"/>
      <protection hidden="1"/>
    </xf>
    <xf numFmtId="0" fontId="3" fillId="6" borderId="29" xfId="0" applyFont="1" applyFill="1" applyBorder="1" applyAlignment="1" applyProtection="1">
      <alignment horizontal="center" vertical="center"/>
      <protection hidden="1"/>
    </xf>
    <xf numFmtId="0" fontId="3" fillId="6" borderId="82" xfId="0" applyFont="1" applyFill="1" applyBorder="1" applyAlignment="1" applyProtection="1">
      <alignment horizontal="center" vertical="center"/>
      <protection hidden="1"/>
    </xf>
    <xf numFmtId="4" fontId="45" fillId="18" borderId="100" xfId="0" applyNumberFormat="1" applyFont="1" applyFill="1" applyBorder="1" applyAlignment="1" applyProtection="1">
      <alignment horizontal="center" vertical="center"/>
      <protection hidden="1"/>
    </xf>
    <xf numFmtId="4" fontId="45" fillId="18" borderId="31" xfId="0" applyNumberFormat="1" applyFont="1" applyFill="1" applyBorder="1" applyAlignment="1" applyProtection="1">
      <alignment horizontal="center" vertical="center"/>
      <protection hidden="1"/>
    </xf>
    <xf numFmtId="0" fontId="8" fillId="11" borderId="47" xfId="0" applyFont="1" applyFill="1" applyBorder="1" applyAlignment="1" applyProtection="1">
      <alignment horizontal="left" vertical="center" wrapText="1"/>
      <protection hidden="1"/>
    </xf>
    <xf numFmtId="0" fontId="8" fillId="11" borderId="83" xfId="0" applyFont="1" applyFill="1" applyBorder="1" applyAlignment="1" applyProtection="1">
      <alignment horizontal="left" vertical="center" wrapText="1"/>
      <protection hidden="1"/>
    </xf>
    <xf numFmtId="0" fontId="8" fillId="11" borderId="75" xfId="0" applyFont="1" applyFill="1" applyBorder="1" applyAlignment="1" applyProtection="1">
      <alignment horizontal="left" vertical="center" wrapText="1"/>
      <protection hidden="1"/>
    </xf>
    <xf numFmtId="43" fontId="3" fillId="18" borderId="28" xfId="4" applyFont="1" applyFill="1" applyBorder="1" applyAlignment="1" applyProtection="1">
      <alignment horizontal="left" vertical="center"/>
      <protection locked="0"/>
    </xf>
    <xf numFmtId="43" fontId="3" fillId="18" borderId="29" xfId="4" applyFont="1" applyFill="1" applyBorder="1" applyAlignment="1" applyProtection="1">
      <alignment horizontal="left" vertical="center"/>
      <protection locked="0"/>
    </xf>
    <xf numFmtId="43" fontId="3" fillId="18" borderId="30" xfId="4" applyFont="1" applyFill="1" applyBorder="1" applyAlignment="1" applyProtection="1">
      <alignment horizontal="left" vertical="center"/>
      <protection locked="0"/>
    </xf>
    <xf numFmtId="0" fontId="3" fillId="6" borderId="77" xfId="0" applyFont="1" applyFill="1" applyBorder="1" applyAlignment="1" applyProtection="1">
      <alignment horizontal="center" vertical="center"/>
      <protection hidden="1"/>
    </xf>
    <xf numFmtId="0" fontId="3" fillId="6" borderId="110" xfId="0" applyFont="1" applyFill="1" applyBorder="1" applyAlignment="1" applyProtection="1">
      <alignment horizontal="center" vertical="center"/>
      <protection hidden="1"/>
    </xf>
    <xf numFmtId="0" fontId="3" fillId="6" borderId="78" xfId="0" applyFont="1" applyFill="1" applyBorder="1" applyAlignment="1" applyProtection="1">
      <alignment horizontal="center" vertical="center"/>
      <protection hidden="1"/>
    </xf>
    <xf numFmtId="0" fontId="33" fillId="7" borderId="47" xfId="0" applyFont="1" applyFill="1" applyBorder="1" applyAlignment="1" applyProtection="1">
      <alignment horizontal="left" vertical="center"/>
      <protection hidden="1"/>
    </xf>
    <xf numFmtId="0" fontId="33" fillId="7" borderId="106" xfId="0" applyFont="1" applyFill="1" applyBorder="1" applyAlignment="1" applyProtection="1">
      <alignment horizontal="left" vertical="center"/>
      <protection hidden="1"/>
    </xf>
    <xf numFmtId="0" fontId="4" fillId="18" borderId="150" xfId="0" applyFont="1" applyFill="1" applyBorder="1" applyAlignment="1" applyProtection="1">
      <alignment horizontal="center" vertical="center"/>
      <protection locked="0"/>
    </xf>
    <xf numFmtId="0" fontId="4" fillId="18" borderId="124" xfId="0" applyFont="1" applyFill="1" applyBorder="1" applyAlignment="1" applyProtection="1">
      <alignment horizontal="center" vertical="center"/>
      <protection locked="0"/>
    </xf>
    <xf numFmtId="188" fontId="42" fillId="11" borderId="83" xfId="0" applyNumberFormat="1" applyFont="1" applyFill="1" applyBorder="1" applyAlignment="1">
      <alignment horizontal="center" vertical="center"/>
    </xf>
    <xf numFmtId="188" fontId="42" fillId="11" borderId="75" xfId="0" applyNumberFormat="1" applyFont="1" applyFill="1" applyBorder="1" applyAlignment="1">
      <alignment horizontal="center" vertical="center"/>
    </xf>
    <xf numFmtId="0" fontId="3" fillId="19" borderId="28" xfId="0" applyFont="1" applyFill="1" applyBorder="1" applyAlignment="1" applyProtection="1">
      <alignment horizontal="center" vertical="center"/>
      <protection hidden="1"/>
    </xf>
    <xf numFmtId="0" fontId="3" fillId="19" borderId="29" xfId="0" applyFont="1" applyFill="1" applyBorder="1" applyAlignment="1" applyProtection="1">
      <alignment horizontal="center" vertical="center"/>
      <protection hidden="1"/>
    </xf>
    <xf numFmtId="0" fontId="3" fillId="19" borderId="82" xfId="0" applyFont="1" applyFill="1" applyBorder="1" applyAlignment="1" applyProtection="1">
      <alignment horizontal="center" vertical="center"/>
      <protection hidden="1"/>
    </xf>
    <xf numFmtId="0" fontId="3" fillId="19" borderId="77" xfId="0" applyFont="1" applyFill="1" applyBorder="1" applyAlignment="1" applyProtection="1">
      <alignment horizontal="center" vertical="center"/>
      <protection hidden="1"/>
    </xf>
    <xf numFmtId="0" fontId="3" fillId="19" borderId="109" xfId="0" applyFont="1" applyFill="1" applyBorder="1" applyAlignment="1" applyProtection="1">
      <alignment horizontal="center" vertical="center"/>
      <protection hidden="1"/>
    </xf>
    <xf numFmtId="0" fontId="3" fillId="6" borderId="109" xfId="0" applyFont="1" applyFill="1" applyBorder="1" applyAlignment="1" applyProtection="1">
      <alignment horizontal="center" vertical="center"/>
      <protection hidden="1"/>
    </xf>
    <xf numFmtId="49" fontId="24" fillId="0" borderId="10" xfId="0" applyNumberFormat="1" applyFont="1" applyBorder="1" applyAlignment="1" applyProtection="1">
      <alignment horizontal="center" vertical="center"/>
      <protection locked="0"/>
    </xf>
    <xf numFmtId="49" fontId="24" fillId="0" borderId="108" xfId="0" applyNumberFormat="1" applyFont="1" applyBorder="1" applyAlignment="1" applyProtection="1">
      <alignment horizontal="left" vertical="center"/>
      <protection locked="0"/>
    </xf>
    <xf numFmtId="0" fontId="4" fillId="10" borderId="0" xfId="0" applyFont="1" applyFill="1" applyAlignment="1" applyProtection="1">
      <alignment horizontal="left" vertical="center" wrapText="1"/>
      <protection hidden="1"/>
    </xf>
    <xf numFmtId="0" fontId="3" fillId="10" borderId="63" xfId="0" applyFont="1" applyFill="1" applyBorder="1" applyAlignment="1" applyProtection="1">
      <alignment horizontal="center" vertical="center"/>
      <protection hidden="1"/>
    </xf>
    <xf numFmtId="0" fontId="3" fillId="10" borderId="25" xfId="0" applyFont="1" applyFill="1" applyBorder="1" applyAlignment="1" applyProtection="1">
      <alignment horizontal="center" vertical="center"/>
      <protection hidden="1"/>
    </xf>
    <xf numFmtId="0" fontId="3" fillId="10" borderId="82" xfId="0" applyFont="1" applyFill="1" applyBorder="1" applyAlignment="1" applyProtection="1">
      <alignment horizontal="center" vertical="center"/>
      <protection hidden="1"/>
    </xf>
    <xf numFmtId="0" fontId="3" fillId="7" borderId="63" xfId="0" applyFont="1" applyFill="1" applyBorder="1" applyAlignment="1" applyProtection="1">
      <alignment horizontal="center" vertical="center"/>
      <protection hidden="1"/>
    </xf>
    <xf numFmtId="0" fontId="3" fillId="7" borderId="25" xfId="0" applyFont="1" applyFill="1" applyBorder="1" applyAlignment="1" applyProtection="1">
      <alignment horizontal="center" vertical="center"/>
      <protection hidden="1"/>
    </xf>
    <xf numFmtId="0" fontId="20" fillId="8" borderId="47" xfId="0" applyFont="1" applyFill="1" applyBorder="1" applyAlignment="1" applyProtection="1">
      <alignment horizontal="center" vertical="center"/>
      <protection locked="0" hidden="1"/>
    </xf>
    <xf numFmtId="0" fontId="20" fillId="8" borderId="75" xfId="0" applyFont="1" applyFill="1" applyBorder="1" applyAlignment="1" applyProtection="1">
      <alignment horizontal="center" vertical="center"/>
      <protection locked="0" hidden="1"/>
    </xf>
    <xf numFmtId="0" fontId="3" fillId="7" borderId="82" xfId="0" applyFont="1" applyFill="1" applyBorder="1" applyAlignment="1" applyProtection="1">
      <alignment horizontal="center" vertical="center"/>
      <protection hidden="1"/>
    </xf>
    <xf numFmtId="49" fontId="24" fillId="0" borderId="10" xfId="0" applyNumberFormat="1" applyFont="1" applyBorder="1" applyAlignment="1" applyProtection="1">
      <alignment horizontal="left" vertical="center"/>
      <protection locked="0"/>
    </xf>
    <xf numFmtId="49" fontId="24" fillId="0" borderId="97" xfId="0" applyNumberFormat="1" applyFont="1" applyBorder="1" applyAlignment="1" applyProtection="1">
      <alignment horizontal="left" vertical="center"/>
      <protection locked="0"/>
    </xf>
    <xf numFmtId="0" fontId="82" fillId="14" borderId="111" xfId="0" applyFont="1" applyFill="1" applyBorder="1" applyAlignment="1">
      <alignment horizontal="left" vertical="center" wrapText="1"/>
    </xf>
    <xf numFmtId="0" fontId="82" fillId="0" borderId="110" xfId="0" applyFont="1" applyBorder="1" applyAlignment="1">
      <alignment vertical="center" wrapText="1"/>
    </xf>
    <xf numFmtId="49" fontId="24" fillId="0" borderId="96" xfId="0" applyNumberFormat="1" applyFont="1" applyBorder="1" applyAlignment="1" applyProtection="1">
      <alignment horizontal="left" vertical="center"/>
      <protection locked="0"/>
    </xf>
    <xf numFmtId="0" fontId="38" fillId="11" borderId="47" xfId="0" applyFont="1" applyFill="1" applyBorder="1" applyAlignment="1" applyProtection="1">
      <alignment horizontal="center" vertical="center"/>
      <protection hidden="1"/>
    </xf>
    <xf numFmtId="0" fontId="38" fillId="11" borderId="83" xfId="0" applyFont="1" applyFill="1" applyBorder="1" applyAlignment="1" applyProtection="1">
      <alignment horizontal="center" vertical="center"/>
      <protection hidden="1"/>
    </xf>
    <xf numFmtId="49" fontId="38" fillId="11" borderId="83" xfId="0" applyNumberFormat="1" applyFont="1" applyFill="1" applyBorder="1" applyAlignment="1">
      <alignment horizontal="center" vertical="center"/>
    </xf>
    <xf numFmtId="189" fontId="41" fillId="11" borderId="83" xfId="0" applyNumberFormat="1" applyFont="1" applyFill="1" applyBorder="1" applyAlignment="1">
      <alignment horizontal="center" vertical="center"/>
    </xf>
    <xf numFmtId="49" fontId="24" fillId="0" borderId="94" xfId="0" applyNumberFormat="1" applyFont="1" applyBorder="1" applyAlignment="1" applyProtection="1">
      <alignment horizontal="center" vertical="center"/>
      <protection locked="0"/>
    </xf>
    <xf numFmtId="0" fontId="3" fillId="18" borderId="151" xfId="0" applyFont="1" applyFill="1" applyBorder="1" applyAlignment="1" applyProtection="1">
      <alignment horizontal="left" vertical="center"/>
      <protection locked="0"/>
    </xf>
    <xf numFmtId="0" fontId="0" fillId="0" borderId="151" xfId="0" applyBorder="1" applyAlignment="1" applyProtection="1">
      <alignment horizontal="left" vertical="center"/>
      <protection locked="0"/>
    </xf>
    <xf numFmtId="10" fontId="48" fillId="23" borderId="101" xfId="6" applyNumberFormat="1" applyFont="1" applyFill="1" applyBorder="1" applyAlignment="1" applyProtection="1">
      <alignment horizontal="center" vertical="center"/>
      <protection locked="0" hidden="1"/>
    </xf>
    <xf numFmtId="10" fontId="62" fillId="23" borderId="31" xfId="6" applyNumberFormat="1" applyFont="1" applyFill="1" applyBorder="1" applyAlignment="1" applyProtection="1">
      <alignment horizontal="center" vertical="center"/>
      <protection locked="0"/>
    </xf>
    <xf numFmtId="3" fontId="8" fillId="13" borderId="47" xfId="0" applyNumberFormat="1" applyFont="1" applyFill="1" applyBorder="1" applyAlignment="1" applyProtection="1">
      <alignment horizontal="center" vertical="center"/>
      <protection hidden="1"/>
    </xf>
    <xf numFmtId="3" fontId="8" fillId="13" borderId="83" xfId="0" applyNumberFormat="1" applyFont="1" applyFill="1" applyBorder="1" applyAlignment="1" applyProtection="1">
      <alignment horizontal="center" vertical="center"/>
      <protection hidden="1"/>
    </xf>
    <xf numFmtId="0" fontId="0" fillId="0" borderId="8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" fillId="6" borderId="47" xfId="0" applyFont="1" applyFill="1" applyBorder="1" applyAlignment="1" applyProtection="1">
      <alignment horizontal="center" vertical="center"/>
      <protection hidden="1"/>
    </xf>
    <xf numFmtId="0" fontId="3" fillId="6" borderId="106" xfId="0" applyFont="1" applyFill="1" applyBorder="1" applyAlignment="1" applyProtection="1">
      <alignment horizontal="center" vertical="center"/>
      <protection hidden="1"/>
    </xf>
    <xf numFmtId="4" fontId="3" fillId="19" borderId="118" xfId="0" applyNumberFormat="1" applyFont="1" applyFill="1" applyBorder="1" applyAlignment="1" applyProtection="1">
      <alignment horizontal="center" vertical="center"/>
      <protection hidden="1"/>
    </xf>
    <xf numFmtId="0" fontId="0" fillId="0" borderId="109" xfId="0" applyBorder="1" applyAlignment="1">
      <alignment horizontal="center" vertical="center"/>
    </xf>
    <xf numFmtId="183" fontId="3" fillId="0" borderId="118" xfId="0" applyNumberFormat="1" applyFont="1" applyBorder="1" applyAlignment="1" applyProtection="1">
      <alignment vertical="center"/>
      <protection hidden="1"/>
    </xf>
    <xf numFmtId="0" fontId="0" fillId="0" borderId="92" xfId="0" applyBorder="1" applyAlignment="1">
      <alignment vertical="center"/>
    </xf>
    <xf numFmtId="43" fontId="4" fillId="18" borderId="159" xfId="4" applyFont="1" applyFill="1" applyBorder="1" applyAlignment="1" applyProtection="1">
      <alignment horizontal="right" vertical="center"/>
      <protection locked="0"/>
    </xf>
    <xf numFmtId="0" fontId="0" fillId="0" borderId="160" xfId="0" applyBorder="1" applyAlignment="1">
      <alignment horizontal="right" vertical="center"/>
    </xf>
    <xf numFmtId="43" fontId="4" fillId="18" borderId="45" xfId="4" applyFont="1" applyFill="1" applyBorder="1" applyAlignment="1" applyProtection="1">
      <alignment horizontal="right" vertical="center"/>
      <protection locked="0"/>
    </xf>
    <xf numFmtId="0" fontId="0" fillId="0" borderId="70" xfId="0" applyBorder="1" applyAlignment="1">
      <alignment horizontal="right" vertical="center"/>
    </xf>
    <xf numFmtId="43" fontId="4" fillId="18" borderId="161" xfId="4" applyFont="1" applyFill="1" applyBorder="1" applyAlignment="1" applyProtection="1">
      <alignment horizontal="right" vertical="center"/>
      <protection locked="0"/>
    </xf>
    <xf numFmtId="0" fontId="0" fillId="0" borderId="104" xfId="0" applyBorder="1" applyAlignment="1">
      <alignment horizontal="right" vertical="center"/>
    </xf>
    <xf numFmtId="0" fontId="83" fillId="11" borderId="47" xfId="0" applyFont="1" applyFill="1" applyBorder="1" applyAlignment="1" applyProtection="1">
      <alignment horizontal="left" vertical="center"/>
      <protection hidden="1"/>
    </xf>
    <xf numFmtId="0" fontId="84" fillId="11" borderId="83" xfId="0" applyFont="1" applyFill="1" applyBorder="1" applyAlignment="1" applyProtection="1">
      <alignment horizontal="left" vertical="center"/>
      <protection hidden="1"/>
    </xf>
    <xf numFmtId="189" fontId="85" fillId="11" borderId="83" xfId="0" applyNumberFormat="1" applyFont="1" applyFill="1" applyBorder="1" applyAlignment="1">
      <alignment horizontal="left" vertical="center"/>
    </xf>
    <xf numFmtId="0" fontId="72" fillId="0" borderId="32" xfId="0" applyFont="1" applyBorder="1" applyAlignment="1" applyProtection="1">
      <alignment horizontal="right" vertical="center" wrapText="1"/>
      <protection hidden="1"/>
    </xf>
    <xf numFmtId="0" fontId="72" fillId="0" borderId="0" xfId="0" applyFont="1" applyAlignment="1" applyProtection="1">
      <alignment horizontal="right" vertical="center" wrapText="1"/>
      <protection hidden="1"/>
    </xf>
    <xf numFmtId="0" fontId="87" fillId="0" borderId="10" xfId="0" applyFont="1" applyBorder="1" applyAlignment="1" applyProtection="1">
      <alignment horizontal="center" vertical="center"/>
      <protection hidden="1"/>
    </xf>
    <xf numFmtId="0" fontId="87" fillId="0" borderId="97" xfId="0" applyFont="1" applyBorder="1" applyAlignment="1" applyProtection="1">
      <alignment horizontal="center" vertical="center"/>
      <protection hidden="1"/>
    </xf>
    <xf numFmtId="0" fontId="87" fillId="0" borderId="25" xfId="0" applyFont="1" applyBorder="1" applyAlignment="1" applyProtection="1">
      <alignment horizontal="left" vertical="center"/>
      <protection hidden="1"/>
    </xf>
    <xf numFmtId="49" fontId="87" fillId="0" borderId="0" xfId="0" applyNumberFormat="1" applyFont="1" applyAlignment="1" applyProtection="1">
      <alignment horizontal="left" vertical="center"/>
      <protection hidden="1"/>
    </xf>
    <xf numFmtId="188" fontId="86" fillId="11" borderId="83" xfId="0" applyNumberFormat="1" applyFont="1" applyFill="1" applyBorder="1" applyAlignment="1">
      <alignment horizontal="center" vertical="center"/>
    </xf>
    <xf numFmtId="0" fontId="62" fillId="0" borderId="0" xfId="0" applyFont="1" applyAlignment="1" applyProtection="1">
      <alignment horizontal="left" vertical="center"/>
      <protection hidden="1"/>
    </xf>
    <xf numFmtId="0" fontId="67" fillId="0" borderId="47" xfId="0" applyFont="1" applyBorder="1" applyAlignment="1" applyProtection="1">
      <alignment horizontal="right" vertical="center"/>
      <protection hidden="1"/>
    </xf>
    <xf numFmtId="0" fontId="67" fillId="0" borderId="83" xfId="0" applyFont="1" applyBorder="1" applyAlignment="1" applyProtection="1">
      <alignment horizontal="right" vertical="center"/>
      <protection hidden="1"/>
    </xf>
    <xf numFmtId="0" fontId="67" fillId="0" borderId="75" xfId="0" applyFont="1" applyBorder="1" applyAlignment="1" applyProtection="1">
      <alignment horizontal="right" vertical="center"/>
      <protection hidden="1"/>
    </xf>
    <xf numFmtId="0" fontId="87" fillId="0" borderId="26" xfId="0" applyFont="1" applyBorder="1" applyAlignment="1" applyProtection="1">
      <alignment horizontal="left" vertical="center"/>
      <protection hidden="1"/>
    </xf>
    <xf numFmtId="0" fontId="90" fillId="0" borderId="81" xfId="0" applyFont="1" applyBorder="1" applyAlignment="1" applyProtection="1">
      <alignment horizontal="center" vertical="center" wrapText="1"/>
      <protection hidden="1"/>
    </xf>
    <xf numFmtId="0" fontId="90" fillId="0" borderId="83" xfId="0" applyFont="1" applyBorder="1" applyAlignment="1" applyProtection="1">
      <alignment horizontal="center" vertical="center" wrapText="1"/>
      <protection hidden="1"/>
    </xf>
    <xf numFmtId="0" fontId="90" fillId="0" borderId="106" xfId="0" applyFont="1" applyBorder="1" applyAlignment="1" applyProtection="1">
      <alignment horizontal="center" vertical="center" wrapText="1"/>
      <protection hidden="1"/>
    </xf>
    <xf numFmtId="0" fontId="61" fillId="6" borderId="47" xfId="0" applyFont="1" applyFill="1" applyBorder="1" applyAlignment="1" applyProtection="1">
      <alignment horizontal="center" vertical="center"/>
      <protection hidden="1"/>
    </xf>
    <xf numFmtId="0" fontId="61" fillId="6" borderId="83" xfId="0" applyFont="1" applyFill="1" applyBorder="1" applyAlignment="1" applyProtection="1">
      <alignment horizontal="center" vertical="center"/>
      <protection hidden="1"/>
    </xf>
    <xf numFmtId="0" fontId="61" fillId="6" borderId="75" xfId="0" applyFont="1" applyFill="1" applyBorder="1" applyAlignment="1" applyProtection="1">
      <alignment horizontal="center" vertical="center"/>
      <protection hidden="1"/>
    </xf>
    <xf numFmtId="0" fontId="88" fillId="18" borderId="10" xfId="0" applyFont="1" applyFill="1" applyBorder="1" applyAlignment="1" applyProtection="1">
      <alignment horizontal="left" vertical="center"/>
      <protection locked="0"/>
    </xf>
    <xf numFmtId="0" fontId="61" fillId="6" borderId="63" xfId="0" applyFont="1" applyFill="1" applyBorder="1" applyAlignment="1" applyProtection="1">
      <alignment horizontal="center" vertical="center"/>
      <protection hidden="1"/>
    </xf>
    <xf numFmtId="0" fontId="61" fillId="6" borderId="25" xfId="0" applyFont="1" applyFill="1" applyBorder="1" applyAlignment="1" applyProtection="1">
      <alignment horizontal="center" vertical="center"/>
      <protection hidden="1"/>
    </xf>
    <xf numFmtId="0" fontId="61" fillId="6" borderId="82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75" fontId="3" fillId="0" borderId="0" xfId="0" applyNumberFormat="1" applyFont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62" fillId="2" borderId="5" xfId="0" applyNumberFormat="1" applyFont="1" applyFill="1" applyBorder="1" applyAlignment="1" applyProtection="1">
      <alignment horizontal="center" vertical="center"/>
      <protection hidden="1"/>
    </xf>
    <xf numFmtId="164" fontId="62" fillId="2" borderId="0" xfId="0" applyNumberFormat="1" applyFont="1" applyFill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17" fillId="12" borderId="28" xfId="0" applyFont="1" applyFill="1" applyBorder="1" applyAlignment="1">
      <alignment horizontal="center"/>
    </xf>
    <xf numFmtId="0" fontId="17" fillId="12" borderId="29" xfId="0" applyFont="1" applyFill="1" applyBorder="1" applyAlignment="1">
      <alignment horizontal="center"/>
    </xf>
    <xf numFmtId="0" fontId="17" fillId="12" borderId="30" xfId="0" applyFont="1" applyFill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189" fontId="3" fillId="0" borderId="0" xfId="0" applyNumberFormat="1" applyFont="1" applyAlignment="1">
      <alignment horizontal="center"/>
    </xf>
    <xf numFmtId="0" fontId="14" fillId="5" borderId="3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18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 wrapText="1"/>
    </xf>
  </cellXfs>
  <cellStyles count="10">
    <cellStyle name="Euro" xfId="1" xr:uid="{00000000-0005-0000-0000-000000000000}"/>
    <cellStyle name="Gelb" xfId="2" xr:uid="{00000000-0005-0000-0000-000001000000}"/>
    <cellStyle name="kae" xfId="3" xr:uid="{00000000-0005-0000-0000-000002000000}"/>
    <cellStyle name="Komma" xfId="4" builtinId="3"/>
    <cellStyle name="Link" xfId="9" builtinId="8"/>
    <cellStyle name="Normal 2" xfId="8" xr:uid="{00000000-0005-0000-0000-000006000000}"/>
    <cellStyle name="Percent" xfId="5" xr:uid="{00000000-0005-0000-0000-000007000000}"/>
    <cellStyle name="Prozent" xfId="6" builtinId="5"/>
    <cellStyle name="Standard" xfId="0" builtinId="0"/>
    <cellStyle name="Undefiniert" xfId="7" xr:uid="{00000000-0005-0000-0000-000009000000}"/>
  </cellStyles>
  <dxfs count="12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CC"/>
      <color rgb="FFFF7C80"/>
      <color rgb="FFCCCCFF"/>
      <color rgb="FF0000FF"/>
      <color rgb="FFFFFFCC"/>
      <color rgb="FF9999FF"/>
      <color rgb="FF006C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12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2.xml" /><Relationship Id="rId5" Type="http://schemas.openxmlformats.org/officeDocument/2006/relationships/worksheet" Target="worksheets/sheet5.xml" /><Relationship Id="rId10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trlProps/ctrlProp1.xml><?xml version="1.0" encoding="utf-8"?>
<formControlPr xmlns="http://schemas.microsoft.com/office/spreadsheetml/2009/9/main" objectType="CheckBox" fmlaLink="$L$23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 fmlaLink="D21"/>
</file>

<file path=xl/ctrlProps/ctrlProp4.xml><?xml version="1.0" encoding="utf-8"?>
<formControlPr xmlns="http://schemas.microsoft.com/office/spreadsheetml/2009/9/main" objectType="Radio" firstButton="1" fmlaLink="$I$16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fmlaLink="$A$17"/>
</file>

<file path=xl/ctrlProps/ctrlProp8.xml><?xml version="1.0" encoding="utf-8"?>
<formControlPr xmlns="http://schemas.microsoft.com/office/spreadsheetml/2009/9/main" objectType="Radio" lockText="1"/>
</file>

<file path=xl/ctrlProps/ctrlProp9.xml><?xml version="1.0" encoding="utf-8"?>
<formControlPr xmlns="http://schemas.microsoft.com/office/spreadsheetml/2009/9/main" objectType="CheckBox" fmlaLink="$C$14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 fmlaLink="$F$16"/>
</file>

<file path=xl/ctrlProps/ctrlProp12.xml><?xml version="1.0" encoding="utf-8"?>
<formControlPr xmlns="http://schemas.microsoft.com/office/spreadsheetml/2009/9/main" objectType="CheckBox" checked="Checked" fmlaLink="$B$17"/>
</file>

<file path=xl/ctrlProps/ctrlProp13.xml><?xml version="1.0" encoding="utf-8"?>
<formControlPr xmlns="http://schemas.microsoft.com/office/spreadsheetml/2009/9/main" objectType="Radio" lockText="1"/>
</file>

<file path=xl/ctrlProps/ctrlProp14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GE-Leasing'!A1" /><Relationship Id="rId7" Type="http://schemas.openxmlformats.org/officeDocument/2006/relationships/hyperlink" Target="#'Detail Solutions'!A1" /><Relationship Id="rId2" Type="http://schemas.openxmlformats.org/officeDocument/2006/relationships/hyperlink" Target="#D&#233;tails!A1" /><Relationship Id="rId1" Type="http://schemas.openxmlformats.org/officeDocument/2006/relationships/hyperlink" Target="#'Donn&#233;es de base'!A1" /><Relationship Id="rId6" Type="http://schemas.openxmlformats.org/officeDocument/2006/relationships/hyperlink" Target="#'D&#233;tails - Action Vente'!A1" /><Relationship Id="rId5" Type="http://schemas.openxmlformats.org/officeDocument/2006/relationships/hyperlink" Target="#Aide!A1" /><Relationship Id="rId4" Type="http://schemas.openxmlformats.org/officeDocument/2006/relationships/hyperlink" Target="#'Miete Graphax'!A1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GE-Leasing'!A1" /><Relationship Id="rId7" Type="http://schemas.openxmlformats.org/officeDocument/2006/relationships/hyperlink" Target="#'KM - Syst&#232;me couleur '!A1" /><Relationship Id="rId2" Type="http://schemas.openxmlformats.org/officeDocument/2006/relationships/hyperlink" Target="#D&#233;tails!A1" /><Relationship Id="rId1" Type="http://schemas.openxmlformats.org/officeDocument/2006/relationships/hyperlink" Target="#'Donn&#233;es de base'!A1" /><Relationship Id="rId6" Type="http://schemas.openxmlformats.org/officeDocument/2006/relationships/hyperlink" Target="#'D&#233;tails - Action Vente'!A1" /><Relationship Id="rId5" Type="http://schemas.openxmlformats.org/officeDocument/2006/relationships/hyperlink" Target="#Aide!A1" /><Relationship Id="rId4" Type="http://schemas.openxmlformats.org/officeDocument/2006/relationships/hyperlink" Target="#'Miete Graphax'!A1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etail Solutions'!A1" /><Relationship Id="rId2" Type="http://schemas.openxmlformats.org/officeDocument/2006/relationships/hyperlink" Target="#'Miete Graphax'!A1" /><Relationship Id="rId1" Type="http://schemas.openxmlformats.org/officeDocument/2006/relationships/hyperlink" Target="#'KM - Syst&#232;me couleur '!A1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Detail Solutions'!A1" /><Relationship Id="rId2" Type="http://schemas.openxmlformats.org/officeDocument/2006/relationships/hyperlink" Target="#'KM - Syst&#232;me couleur '!A1" /><Relationship Id="rId1" Type="http://schemas.openxmlformats.org/officeDocument/2006/relationships/hyperlink" Target="#'GE-Leasing'!A1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400050</xdr:colOff>
          <xdr:row>21</xdr:row>
          <xdr:rowOff>133350</xdr:rowOff>
        </xdr:from>
        <xdr:to>
          <xdr:col>12</xdr:col>
          <xdr:colOff>1009650</xdr:colOff>
          <xdr:row>22</xdr:row>
          <xdr:rowOff>133350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FF" mc:Ignorable="a14" a14:legacySpreadsheetColorIndex="41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19</xdr:row>
          <xdr:rowOff>85725</xdr:rowOff>
        </xdr:from>
        <xdr:to>
          <xdr:col>3</xdr:col>
          <xdr:colOff>495300</xdr:colOff>
          <xdr:row>20</xdr:row>
          <xdr:rowOff>85725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Vertrag 100% erfüllt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20</xdr:row>
          <xdr:rowOff>57150</xdr:rowOff>
        </xdr:from>
        <xdr:to>
          <xdr:col>3</xdr:col>
          <xdr:colOff>1085850</xdr:colOff>
          <xdr:row>22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CCFF" mc:Ignorable="a14" a14:legacySpreadsheetColorIndex="31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Vertrag nicht erfüllt</a:t>
              </a:r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0</xdr:colOff>
      <xdr:row>0</xdr:row>
      <xdr:rowOff>123825</xdr:rowOff>
    </xdr:from>
    <xdr:to>
      <xdr:col>13</xdr:col>
      <xdr:colOff>0</xdr:colOff>
      <xdr:row>2</xdr:row>
      <xdr:rowOff>95250</xdr:rowOff>
    </xdr:to>
    <xdr:sp macro="" textlink="">
      <xdr:nvSpPr>
        <xdr:cNvPr id="1060" name="Text Box 36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 txBox="1">
          <a:spLocks noChangeArrowheads="1"/>
        </xdr:cNvSpPr>
      </xdr:nvSpPr>
      <xdr:spPr bwMode="auto">
        <a:xfrm>
          <a:off x="11525250" y="123825"/>
          <a:ext cx="0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37373" mc:Ignorable="a14" a14:legacySpreadsheetColorIndex="2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Données de base</a:t>
          </a:r>
        </a:p>
      </xdr:txBody>
    </xdr:sp>
    <xdr:clientData/>
  </xdr:twoCellAnchor>
  <xdr:twoCellAnchor>
    <xdr:from>
      <xdr:col>13</xdr:col>
      <xdr:colOff>0</xdr:colOff>
      <xdr:row>0</xdr:row>
      <xdr:rowOff>133350</xdr:rowOff>
    </xdr:from>
    <xdr:to>
      <xdr:col>13</xdr:col>
      <xdr:colOff>0</xdr:colOff>
      <xdr:row>2</xdr:row>
      <xdr:rowOff>95250</xdr:rowOff>
    </xdr:to>
    <xdr:sp macro="" textlink="">
      <xdr:nvSpPr>
        <xdr:cNvPr id="1068" name="Text Box 44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 txBox="1">
          <a:spLocks noChangeArrowheads="1"/>
        </xdr:cNvSpPr>
      </xdr:nvSpPr>
      <xdr:spPr bwMode="auto">
        <a:xfrm>
          <a:off x="11525250" y="133350"/>
          <a:ext cx="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</a:t>
          </a:r>
        </a:p>
      </xdr:txBody>
    </xdr:sp>
    <xdr:clientData/>
  </xdr:twoCellAnchor>
  <xdr:twoCellAnchor>
    <xdr:from>
      <xdr:col>13</xdr:col>
      <xdr:colOff>0</xdr:colOff>
      <xdr:row>3</xdr:row>
      <xdr:rowOff>57150</xdr:rowOff>
    </xdr:from>
    <xdr:to>
      <xdr:col>13</xdr:col>
      <xdr:colOff>0</xdr:colOff>
      <xdr:row>5</xdr:row>
      <xdr:rowOff>0</xdr:rowOff>
    </xdr:to>
    <xdr:sp macro="" textlink="">
      <xdr:nvSpPr>
        <xdr:cNvPr id="1071" name="Text Box 47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 txBox="1">
          <a:spLocks noChangeArrowheads="1"/>
        </xdr:cNvSpPr>
      </xdr:nvSpPr>
      <xdr:spPr bwMode="auto">
        <a:xfrm>
          <a:off x="11525250" y="600075"/>
          <a:ext cx="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5C99" mc:Ignorable="a14" a14:legacySpreadsheetColorIndex="46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GE-Leasing</a:t>
          </a:r>
        </a:p>
      </xdr:txBody>
    </xdr:sp>
    <xdr:clientData/>
  </xdr:twoCellAnchor>
  <xdr:twoCellAnchor>
    <xdr:from>
      <xdr:col>13</xdr:col>
      <xdr:colOff>0</xdr:colOff>
      <xdr:row>3</xdr:row>
      <xdr:rowOff>38100</xdr:rowOff>
    </xdr:from>
    <xdr:to>
      <xdr:col>13</xdr:col>
      <xdr:colOff>0</xdr:colOff>
      <xdr:row>5</xdr:row>
      <xdr:rowOff>0</xdr:rowOff>
    </xdr:to>
    <xdr:sp macro="" textlink="">
      <xdr:nvSpPr>
        <xdr:cNvPr id="1072" name="Text Box 48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 txBox="1">
          <a:spLocks noChangeArrowheads="1"/>
        </xdr:cNvSpPr>
      </xdr:nvSpPr>
      <xdr:spPr bwMode="auto">
        <a:xfrm>
          <a:off x="11525250" y="581025"/>
          <a:ext cx="0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Location Graphax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1114425</xdr:colOff>
          <xdr:row>13</xdr:row>
          <xdr:rowOff>142875</xdr:rowOff>
        </xdr:from>
        <xdr:to>
          <xdr:col>4</xdr:col>
          <xdr:colOff>514350</xdr:colOff>
          <xdr:row>14</xdr:row>
          <xdr:rowOff>133350</xdr:rowOff>
        </xdr:to>
        <xdr:sp macro="" textlink="">
          <xdr:nvSpPr>
            <xdr:cNvPr id="1076" name="Option 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Kauf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1104900</xdr:colOff>
          <xdr:row>14</xdr:row>
          <xdr:rowOff>133350</xdr:rowOff>
        </xdr:from>
        <xdr:to>
          <xdr:col>4</xdr:col>
          <xdr:colOff>495300</xdr:colOff>
          <xdr:row>15</xdr:row>
          <xdr:rowOff>95250</xdr:rowOff>
        </xdr:to>
        <xdr:sp macro="" textlink="">
          <xdr:nvSpPr>
            <xdr:cNvPr id="1077" name="Option 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447675</xdr:colOff>
          <xdr:row>14</xdr:row>
          <xdr:rowOff>0</xdr:rowOff>
        </xdr:from>
        <xdr:to>
          <xdr:col>5</xdr:col>
          <xdr:colOff>0</xdr:colOff>
          <xdr:row>15</xdr:row>
          <xdr:rowOff>0</xdr:rowOff>
        </xdr:to>
        <xdr:sp macro="" textlink="">
          <xdr:nvSpPr>
            <xdr:cNvPr id="1078" name="Option Butto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Leasing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0</xdr:colOff>
      <xdr:row>3</xdr:row>
      <xdr:rowOff>47625</xdr:rowOff>
    </xdr:from>
    <xdr:to>
      <xdr:col>13</xdr:col>
      <xdr:colOff>0</xdr:colOff>
      <xdr:row>5</xdr:row>
      <xdr:rowOff>0</xdr:rowOff>
    </xdr:to>
    <xdr:sp macro="" textlink="">
      <xdr:nvSpPr>
        <xdr:cNvPr id="1084" name="Text Box 60">
          <a:hlinkClick xmlns:r="http://schemas.openxmlformats.org/officeDocument/2006/relationships" r:id="rId5" tooltip="Bitte Klicken!"/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 txBox="1">
          <a:spLocks noChangeArrowheads="1"/>
        </xdr:cNvSpPr>
      </xdr:nvSpPr>
      <xdr:spPr bwMode="auto">
        <a:xfrm>
          <a:off x="11525250" y="590550"/>
          <a:ext cx="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F5C3D" mc:Ignorable="a14" a14:legacySpreadsheetColorIndex="57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Aide</a:t>
          </a:r>
        </a:p>
      </xdr:txBody>
    </xdr:sp>
    <xdr:clientData/>
  </xdr:twoCellAnchor>
  <xdr:twoCellAnchor>
    <xdr:from>
      <xdr:col>13</xdr:col>
      <xdr:colOff>0</xdr:colOff>
      <xdr:row>1</xdr:row>
      <xdr:rowOff>47625</xdr:rowOff>
    </xdr:from>
    <xdr:to>
      <xdr:col>13</xdr:col>
      <xdr:colOff>0</xdr:colOff>
      <xdr:row>4</xdr:row>
      <xdr:rowOff>57150</xdr:rowOff>
    </xdr:to>
    <xdr:sp macro="" textlink="">
      <xdr:nvSpPr>
        <xdr:cNvPr id="1092" name="Text Box 68">
          <a:hlinkClick xmlns:r="http://schemas.openxmlformats.org/officeDocument/2006/relationships" r:id="rId6" tooltip="Bitte Klicken!"/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 txBox="1">
          <a:spLocks noChangeArrowheads="1"/>
        </xdr:cNvSpPr>
      </xdr:nvSpPr>
      <xdr:spPr bwMode="auto">
        <a:xfrm>
          <a:off x="11525250" y="276225"/>
          <a:ext cx="0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 - Action Vente</a:t>
          </a:r>
        </a:p>
      </xdr:txBody>
    </xdr:sp>
    <xdr:clientData/>
  </xdr:twoCellAnchor>
  <xdr:twoCellAnchor>
    <xdr:from>
      <xdr:col>13</xdr:col>
      <xdr:colOff>175177</xdr:colOff>
      <xdr:row>5</xdr:row>
      <xdr:rowOff>212036</xdr:rowOff>
    </xdr:from>
    <xdr:to>
      <xdr:col>14</xdr:col>
      <xdr:colOff>451402</xdr:colOff>
      <xdr:row>7</xdr:row>
      <xdr:rowOff>135836</xdr:rowOff>
    </xdr:to>
    <xdr:sp macro="" textlink="">
      <xdr:nvSpPr>
        <xdr:cNvPr id="1099" name="Text Box 75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 txBox="1">
          <a:spLocks noChangeArrowheads="1"/>
        </xdr:cNvSpPr>
      </xdr:nvSpPr>
      <xdr:spPr bwMode="auto">
        <a:xfrm>
          <a:off x="13255073" y="1212575"/>
          <a:ext cx="1309894" cy="4141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4445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FFFFFF"/>
              </a:solidFill>
              <a:latin typeface="Arial" panose="020B0604020202020204" pitchFamily="34" charset="0"/>
              <a:cs typeface="Arial" panose="020B0604020202020204" pitchFamily="34" charset="0"/>
            </a:rPr>
            <a:t>Leasing</a:t>
          </a:r>
        </a:p>
      </xdr:txBody>
    </xdr:sp>
    <xdr:clientData/>
  </xdr:twoCellAnchor>
  <xdr:twoCellAnchor>
    <xdr:from>
      <xdr:col>13</xdr:col>
      <xdr:colOff>175177</xdr:colOff>
      <xdr:row>7</xdr:row>
      <xdr:rowOff>224459</xdr:rowOff>
    </xdr:from>
    <xdr:to>
      <xdr:col>14</xdr:col>
      <xdr:colOff>470452</xdr:colOff>
      <xdr:row>9</xdr:row>
      <xdr:rowOff>129209</xdr:rowOff>
    </xdr:to>
    <xdr:sp macro="" textlink="">
      <xdr:nvSpPr>
        <xdr:cNvPr id="1101" name="Text Box 77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13255073" y="1715329"/>
          <a:ext cx="1328944" cy="3950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scene3d>
          <a:camera prst="orthographicFront"/>
          <a:lightRig rig="balanced" dir="t"/>
        </a:scene3d>
        <a:sp3d>
          <a:bevelT w="4445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Miete Graphax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95250</xdr:colOff>
          <xdr:row>14</xdr:row>
          <xdr:rowOff>180975</xdr:rowOff>
        </xdr:from>
        <xdr:to>
          <xdr:col>8</xdr:col>
          <xdr:colOff>1276350</xdr:colOff>
          <xdr:row>15</xdr:row>
          <xdr:rowOff>219075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Pool-Vertrag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13</xdr:row>
          <xdr:rowOff>190500</xdr:rowOff>
        </xdr:from>
        <xdr:to>
          <xdr:col>7</xdr:col>
          <xdr:colOff>1104900</xdr:colOff>
          <xdr:row>14</xdr:row>
          <xdr:rowOff>171450</xdr:rowOff>
        </xdr:to>
        <xdr:sp macro="" textlink="">
          <xdr:nvSpPr>
            <xdr:cNvPr id="1178" name="Option Butto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CC" mc:Ignorable="a14" a14:legacySpreadsheetColorIndex="2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Spezial Leasing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876300</xdr:colOff>
          <xdr:row>13</xdr:row>
          <xdr:rowOff>133350</xdr:rowOff>
        </xdr:from>
        <xdr:to>
          <xdr:col>3</xdr:col>
          <xdr:colOff>676275</xdr:colOff>
          <xdr:row>14</xdr:row>
          <xdr:rowOff>133350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Verlängerung/New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17</xdr:row>
          <xdr:rowOff>180975</xdr:rowOff>
        </xdr:from>
        <xdr:to>
          <xdr:col>3</xdr:col>
          <xdr:colOff>133350</xdr:colOff>
          <xdr:row>19</xdr:row>
          <xdr:rowOff>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Restwert Graphax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876300</xdr:colOff>
          <xdr:row>14</xdr:row>
          <xdr:rowOff>133350</xdr:rowOff>
        </xdr:from>
        <xdr:to>
          <xdr:col>3</xdr:col>
          <xdr:colOff>638175</xdr:colOff>
          <xdr:row>15</xdr:row>
          <xdr:rowOff>95250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Nur Service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238125</xdr:colOff>
          <xdr:row>13</xdr:row>
          <xdr:rowOff>133350</xdr:rowOff>
        </xdr:from>
        <xdr:to>
          <xdr:col>2</xdr:col>
          <xdr:colOff>723900</xdr:colOff>
          <xdr:row>14</xdr:row>
          <xdr:rowOff>133350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KAM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13</xdr:row>
          <xdr:rowOff>180975</xdr:rowOff>
        </xdr:from>
        <xdr:to>
          <xdr:col>6</xdr:col>
          <xdr:colOff>1047750</xdr:colOff>
          <xdr:row>14</xdr:row>
          <xdr:rowOff>171450</xdr:rowOff>
        </xdr:to>
        <xdr:sp macro="" textlink="">
          <xdr:nvSpPr>
            <xdr:cNvPr id="1411" name="Option Button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CC" mc:Ignorable="a14" a14:legacySpreadsheetColorIndex="26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Spezial Miete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238125</xdr:colOff>
          <xdr:row>14</xdr:row>
          <xdr:rowOff>133350</xdr:rowOff>
        </xdr:from>
        <xdr:to>
          <xdr:col>2</xdr:col>
          <xdr:colOff>695325</xdr:colOff>
          <xdr:row>15</xdr:row>
          <xdr:rowOff>95250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C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All-in</a:t>
              </a:r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171450</xdr:colOff>
      <xdr:row>3</xdr:row>
      <xdr:rowOff>149917</xdr:rowOff>
    </xdr:from>
    <xdr:to>
      <xdr:col>14</xdr:col>
      <xdr:colOff>457200</xdr:colOff>
      <xdr:row>5</xdr:row>
      <xdr:rowOff>130865</xdr:rowOff>
    </xdr:to>
    <xdr:sp macro="" textlink="">
      <xdr:nvSpPr>
        <xdr:cNvPr id="24" name="Text Box 43">
          <a:hlinkClick xmlns:r="http://schemas.openxmlformats.org/officeDocument/2006/relationships" r:id="rId7" tooltip="Bitte Klicken!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3251346" y="699882"/>
          <a:ext cx="1319419" cy="431522"/>
        </a:xfrm>
        <a:prstGeom prst="rect">
          <a:avLst/>
        </a:prstGeom>
        <a:solidFill>
          <a:srgbClr val="00B050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44450" h="25400"/>
        </a:sp3d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200" b="1" i="0" u="none" strike="noStrik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Solutions</a:t>
          </a:r>
        </a:p>
      </xdr:txBody>
    </xdr:sp>
    <xdr:clientData/>
  </xdr:twoCellAnchor>
  <xdr:twoCellAnchor>
    <xdr:from>
      <xdr:col>13</xdr:col>
      <xdr:colOff>175177</xdr:colOff>
      <xdr:row>9</xdr:row>
      <xdr:rowOff>194226</xdr:rowOff>
    </xdr:from>
    <xdr:to>
      <xdr:col>14</xdr:col>
      <xdr:colOff>470452</xdr:colOff>
      <xdr:row>13</xdr:row>
      <xdr:rowOff>149500</xdr:rowOff>
    </xdr:to>
    <xdr:sp macro="[0]!Impression_Solutions" textlink="">
      <xdr:nvSpPr>
        <xdr:cNvPr id="25" name="Text Box 7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3255073" y="2175426"/>
          <a:ext cx="1328944" cy="730526"/>
        </a:xfrm>
        <a:prstGeom prst="rect">
          <a:avLst/>
        </a:prstGeom>
        <a:ln/>
        <a:scene3d>
          <a:camera prst="orthographicFront">
            <a:rot lat="0" lon="0" rev="0"/>
          </a:camera>
          <a:lightRig rig="balanced" dir="t"/>
        </a:scene3d>
        <a:sp3d>
          <a:bevelT w="44450" h="254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cap="none" spc="0" baseline="0">
              <a:ln>
                <a:noFill/>
              </a:ln>
              <a:solidFill>
                <a:schemeClr val="bg1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Solutionsblatt Drucken in Duplex</a:t>
          </a:r>
        </a:p>
      </xdr:txBody>
    </xdr:sp>
    <xdr:clientData/>
  </xdr:twoCellAnchor>
  <xdr:twoCellAnchor>
    <xdr:from>
      <xdr:col>2</xdr:col>
      <xdr:colOff>538079</xdr:colOff>
      <xdr:row>53</xdr:row>
      <xdr:rowOff>160421</xdr:rowOff>
    </xdr:from>
    <xdr:to>
      <xdr:col>2</xdr:col>
      <xdr:colOff>583798</xdr:colOff>
      <xdr:row>54</xdr:row>
      <xdr:rowOff>29009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2824079" y="10026316"/>
          <a:ext cx="45719" cy="4571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/>
          </a:outerShdw>
        </a:effectLst>
      </xdr:spPr>
      <xdr:txBody>
        <a:bodyPr vertOverflow="clip" wrap="square" lIns="18288" tIns="0" rIns="0" bIns="0" rtlCol="0" anchor="ctr" upright="1"/>
        <a:lstStyle/>
        <a:p>
          <a:pPr algn="l"/>
          <a:endParaRPr lang="de-CH" sz="1100"/>
        </a:p>
      </xdr:txBody>
    </xdr:sp>
    <xdr:clientData/>
  </xdr:twoCellAnchor>
  <xdr:twoCellAnchor>
    <xdr:from>
      <xdr:col>1</xdr:col>
      <xdr:colOff>1118650</xdr:colOff>
      <xdr:row>54</xdr:row>
      <xdr:rowOff>97638</xdr:rowOff>
    </xdr:from>
    <xdr:to>
      <xdr:col>2</xdr:col>
      <xdr:colOff>21369</xdr:colOff>
      <xdr:row>54</xdr:row>
      <xdr:rowOff>143119</xdr:rowOff>
    </xdr:to>
    <xdr:sp macro="" textlink="">
      <xdr:nvSpPr>
        <xdr:cNvPr id="33" name="Ellips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 bwMode="auto">
        <a:xfrm>
          <a:off x="2261650" y="10128370"/>
          <a:ext cx="45719" cy="45481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50800" dir="5400000" algn="ctr" rotWithShape="0">
            <a:schemeClr val="bg1"/>
          </a:outerShdw>
        </a:effectLst>
      </xdr:spPr>
      <xdr:txBody>
        <a:bodyPr vertOverflow="clip" wrap="square" lIns="18288" tIns="0" rIns="0" bIns="0" rtlCol="0" anchor="ctr" upright="1"/>
        <a:lstStyle/>
        <a:p>
          <a:pPr algn="l"/>
          <a:endParaRPr lang="de-CH" sz="1100"/>
        </a:p>
      </xdr:txBody>
    </xdr:sp>
    <xdr:clientData/>
  </xdr:twoCellAnchor>
  <xdr:twoCellAnchor>
    <xdr:from>
      <xdr:col>2</xdr:col>
      <xdr:colOff>21369</xdr:colOff>
      <xdr:row>54</xdr:row>
      <xdr:rowOff>29009</xdr:rowOff>
    </xdr:from>
    <xdr:to>
      <xdr:col>2</xdr:col>
      <xdr:colOff>560939</xdr:colOff>
      <xdr:row>54</xdr:row>
      <xdr:rowOff>120379</xdr:rowOff>
    </xdr:to>
    <xdr:cxnSp macro="">
      <xdr:nvCxnSpPr>
        <xdr:cNvPr id="11" name="Verbinder: gewinkel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33" idx="6"/>
          <a:endCxn id="7" idx="4"/>
        </xdr:cNvCxnSpPr>
      </xdr:nvCxnSpPr>
      <xdr:spPr bwMode="auto">
        <a:xfrm flipV="1">
          <a:off x="2307369" y="10059741"/>
          <a:ext cx="539570" cy="91370"/>
        </a:xfrm>
        <a:prstGeom prst="bentConnector2">
          <a:avLst/>
        </a:prstGeom>
        <a:ln>
          <a:solidFill>
            <a:schemeClr val="tx2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123825</xdr:rowOff>
    </xdr:from>
    <xdr:to>
      <xdr:col>10</xdr:col>
      <xdr:colOff>0</xdr:colOff>
      <xdr:row>2</xdr:row>
      <xdr:rowOff>95250</xdr:rowOff>
    </xdr:to>
    <xdr:sp macro="" textlink="">
      <xdr:nvSpPr>
        <xdr:cNvPr id="5" name="Text Box 36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1953875" y="123825"/>
          <a:ext cx="0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37373" mc:Ignorable="a14" a14:legacySpreadsheetColorIndex="2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Données de base</a:t>
          </a:r>
        </a:p>
      </xdr:txBody>
    </xdr:sp>
    <xdr:clientData/>
  </xdr:twoCellAnchor>
  <xdr:twoCellAnchor>
    <xdr:from>
      <xdr:col>10</xdr:col>
      <xdr:colOff>0</xdr:colOff>
      <xdr:row>0</xdr:row>
      <xdr:rowOff>133350</xdr:rowOff>
    </xdr:from>
    <xdr:to>
      <xdr:col>10</xdr:col>
      <xdr:colOff>0</xdr:colOff>
      <xdr:row>2</xdr:row>
      <xdr:rowOff>95250</xdr:rowOff>
    </xdr:to>
    <xdr:sp macro="" textlink="">
      <xdr:nvSpPr>
        <xdr:cNvPr id="6" name="Text Box 44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1953875" y="133350"/>
          <a:ext cx="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</a:t>
          </a:r>
        </a:p>
      </xdr:txBody>
    </xdr:sp>
    <xdr:clientData/>
  </xdr:twoCellAnchor>
  <xdr:twoCellAnchor>
    <xdr:from>
      <xdr:col>10</xdr:col>
      <xdr:colOff>0</xdr:colOff>
      <xdr:row>3</xdr:row>
      <xdr:rowOff>57150</xdr:rowOff>
    </xdr:from>
    <xdr:to>
      <xdr:col>10</xdr:col>
      <xdr:colOff>0</xdr:colOff>
      <xdr:row>5</xdr:row>
      <xdr:rowOff>0</xdr:rowOff>
    </xdr:to>
    <xdr:sp macro="" textlink="">
      <xdr:nvSpPr>
        <xdr:cNvPr id="7" name="Text Box 47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1953875" y="600075"/>
          <a:ext cx="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5C99" mc:Ignorable="a14" a14:legacySpreadsheetColorIndex="46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GE-Leasing</a:t>
          </a:r>
        </a:p>
      </xdr:txBody>
    </xdr:sp>
    <xdr:clientData/>
  </xdr:twoCellAnchor>
  <xdr:twoCellAnchor>
    <xdr:from>
      <xdr:col>10</xdr:col>
      <xdr:colOff>0</xdr:colOff>
      <xdr:row>3</xdr:row>
      <xdr:rowOff>38100</xdr:rowOff>
    </xdr:from>
    <xdr:to>
      <xdr:col>10</xdr:col>
      <xdr:colOff>0</xdr:colOff>
      <xdr:row>5</xdr:row>
      <xdr:rowOff>0</xdr:rowOff>
    </xdr:to>
    <xdr:sp macro="" textlink="">
      <xdr:nvSpPr>
        <xdr:cNvPr id="8" name="Text Box 48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953875" y="581025"/>
          <a:ext cx="0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 Narrow"/>
            </a:rPr>
            <a:t>Location Graphax</a:t>
          </a:r>
        </a:p>
      </xdr:txBody>
    </xdr:sp>
    <xdr:clientData/>
  </xdr:twoCellAnchor>
  <xdr:twoCellAnchor>
    <xdr:from>
      <xdr:col>10</xdr:col>
      <xdr:colOff>0</xdr:colOff>
      <xdr:row>3</xdr:row>
      <xdr:rowOff>47625</xdr:rowOff>
    </xdr:from>
    <xdr:to>
      <xdr:col>10</xdr:col>
      <xdr:colOff>0</xdr:colOff>
      <xdr:row>5</xdr:row>
      <xdr:rowOff>0</xdr:rowOff>
    </xdr:to>
    <xdr:sp macro="" textlink="">
      <xdr:nvSpPr>
        <xdr:cNvPr id="12" name="Text Box 60">
          <a:hlinkClick xmlns:r="http://schemas.openxmlformats.org/officeDocument/2006/relationships" r:id="rId5" tooltip="Bitte Klicken!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11953875" y="590550"/>
          <a:ext cx="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F5C3D" mc:Ignorable="a14" a14:legacySpreadsheetColorIndex="57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Aide</a:t>
          </a:r>
        </a:p>
      </xdr:txBody>
    </xdr:sp>
    <xdr:clientData/>
  </xdr:twoCellAnchor>
  <xdr:twoCellAnchor>
    <xdr:from>
      <xdr:col>10</xdr:col>
      <xdr:colOff>0</xdr:colOff>
      <xdr:row>1</xdr:row>
      <xdr:rowOff>47625</xdr:rowOff>
    </xdr:from>
    <xdr:to>
      <xdr:col>10</xdr:col>
      <xdr:colOff>0</xdr:colOff>
      <xdr:row>4</xdr:row>
      <xdr:rowOff>57150</xdr:rowOff>
    </xdr:to>
    <xdr:sp macro="" textlink="">
      <xdr:nvSpPr>
        <xdr:cNvPr id="13" name="Text Box 68">
          <a:hlinkClick xmlns:r="http://schemas.openxmlformats.org/officeDocument/2006/relationships" r:id="rId6" tooltip="Bitte Klicken!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11953875" y="276225"/>
          <a:ext cx="0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000" b="1" i="0" u="none" strike="noStrike" baseline="0">
              <a:solidFill>
                <a:srgbClr val="FFFFFF"/>
              </a:solidFill>
              <a:latin typeface="Arial Narrow"/>
            </a:rPr>
            <a:t>Détails - Action Vente</a:t>
          </a:r>
        </a:p>
      </xdr:txBody>
    </xdr:sp>
    <xdr:clientData/>
  </xdr:twoCellAnchor>
  <xdr:twoCellAnchor>
    <xdr:from>
      <xdr:col>10</xdr:col>
      <xdr:colOff>85724</xdr:colOff>
      <xdr:row>5</xdr:row>
      <xdr:rowOff>180976</xdr:rowOff>
    </xdr:from>
    <xdr:to>
      <xdr:col>11</xdr:col>
      <xdr:colOff>643466</xdr:colOff>
      <xdr:row>7</xdr:row>
      <xdr:rowOff>38100</xdr:rowOff>
    </xdr:to>
    <xdr:sp macro="" textlink="">
      <xdr:nvSpPr>
        <xdr:cNvPr id="14" name="Text Box 75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5274924" y="1340909"/>
          <a:ext cx="1336675" cy="30585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00004D" mc:Ignorable="a14" a14:legacySpreadsheetColorIndex="18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FFFFFF"/>
              </a:solidFill>
              <a:latin typeface="Arial" panose="020B0604020202020204" pitchFamily="34" charset="0"/>
              <a:cs typeface="Arial" panose="020B0604020202020204" pitchFamily="34" charset="0"/>
            </a:rPr>
            <a:t>Leasing</a:t>
          </a:r>
        </a:p>
      </xdr:txBody>
    </xdr:sp>
    <xdr:clientData/>
  </xdr:twoCellAnchor>
  <xdr:twoCellAnchor>
    <xdr:from>
      <xdr:col>10</xdr:col>
      <xdr:colOff>85725</xdr:colOff>
      <xdr:row>7</xdr:row>
      <xdr:rowOff>161925</xdr:rowOff>
    </xdr:from>
    <xdr:to>
      <xdr:col>11</xdr:col>
      <xdr:colOff>635000</xdr:colOff>
      <xdr:row>9</xdr:row>
      <xdr:rowOff>130342</xdr:rowOff>
    </xdr:to>
    <xdr:sp macro="" textlink="">
      <xdr:nvSpPr>
        <xdr:cNvPr id="15" name="Text Box 77">
          <a:hlinkClick xmlns:r="http://schemas.openxmlformats.org/officeDocument/2006/relationships" r:id="rId4" tooltip="Bitte Klicken!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15274925" y="1770592"/>
          <a:ext cx="1328208" cy="315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Miete Graphax</a:t>
          </a:r>
        </a:p>
      </xdr:txBody>
    </xdr:sp>
    <xdr:clientData/>
  </xdr:twoCellAnchor>
  <xdr:twoCellAnchor>
    <xdr:from>
      <xdr:col>10</xdr:col>
      <xdr:colOff>95250</xdr:colOff>
      <xdr:row>3</xdr:row>
      <xdr:rowOff>66675</xdr:rowOff>
    </xdr:from>
    <xdr:to>
      <xdr:col>11</xdr:col>
      <xdr:colOff>643467</xdr:colOff>
      <xdr:row>5</xdr:row>
      <xdr:rowOff>76200</xdr:rowOff>
    </xdr:to>
    <xdr:sp macro="" textlink="">
      <xdr:nvSpPr>
        <xdr:cNvPr id="24" name="Text Box 43">
          <a:hlinkClick xmlns:r="http://schemas.openxmlformats.org/officeDocument/2006/relationships" r:id="rId7" tooltip="Bitte Klicken!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15284450" y="684742"/>
          <a:ext cx="1327150" cy="5513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0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Konica Minolta Farb- und s/w-Systeme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</xdr:row>
      <xdr:rowOff>57150</xdr:rowOff>
    </xdr:from>
    <xdr:to>
      <xdr:col>8</xdr:col>
      <xdr:colOff>695325</xdr:colOff>
      <xdr:row>6</xdr:row>
      <xdr:rowOff>30480</xdr:rowOff>
    </xdr:to>
    <xdr:sp macro="" textlink="">
      <xdr:nvSpPr>
        <xdr:cNvPr id="10283" name="Text Box 43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200-00002B280000}"/>
            </a:ext>
          </a:extLst>
        </xdr:cNvPr>
        <xdr:cNvSpPr txBox="1">
          <a:spLocks noChangeArrowheads="1"/>
        </xdr:cNvSpPr>
      </xdr:nvSpPr>
      <xdr:spPr bwMode="auto">
        <a:xfrm>
          <a:off x="6985635" y="285750"/>
          <a:ext cx="1367790" cy="6972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ct val="100000"/>
            </a:lnSpc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Konica Minolta Farb- und s/w-Systeme</a:t>
          </a:r>
        </a:p>
      </xdr:txBody>
    </xdr:sp>
    <xdr:clientData/>
  </xdr:twoCellAnchor>
  <xdr:twoCellAnchor>
    <xdr:from>
      <xdr:col>7</xdr:col>
      <xdr:colOff>104775</xdr:colOff>
      <xdr:row>6</xdr:row>
      <xdr:rowOff>152400</xdr:rowOff>
    </xdr:from>
    <xdr:to>
      <xdr:col>8</xdr:col>
      <xdr:colOff>695325</xdr:colOff>
      <xdr:row>7</xdr:row>
      <xdr:rowOff>104775</xdr:rowOff>
    </xdr:to>
    <xdr:sp macro="" textlink="">
      <xdr:nvSpPr>
        <xdr:cNvPr id="10284" name="Text Box 44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200-00002C280000}"/>
            </a:ext>
          </a:extLst>
        </xdr:cNvPr>
        <xdr:cNvSpPr txBox="1">
          <a:spLocks noChangeArrowheads="1"/>
        </xdr:cNvSpPr>
      </xdr:nvSpPr>
      <xdr:spPr bwMode="auto">
        <a:xfrm>
          <a:off x="6985635" y="1104900"/>
          <a:ext cx="1367790" cy="257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997A" mc:Ignorable="a14" a14:legacySpreadsheetColorIndex="42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Miete Graphax</a:t>
          </a:r>
        </a:p>
      </xdr:txBody>
    </xdr:sp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752475</xdr:colOff>
      <xdr:row>5</xdr:row>
      <xdr:rowOff>123825</xdr:rowOff>
    </xdr:to>
    <xdr:sp macro="" textlink="">
      <xdr:nvSpPr>
        <xdr:cNvPr id="10411" name="AutoShape 45" descr="10__=4EBBFE6DDFC933948f9e8a93df9386909@zkb">
          <a:extLst>
            <a:ext uri="{FF2B5EF4-FFF2-40B4-BE49-F238E27FC236}">
              <a16:creationId xmlns:a16="http://schemas.microsoft.com/office/drawing/2014/main" id="{00000000-0008-0000-0200-0000AB280000}"/>
            </a:ext>
          </a:extLst>
        </xdr:cNvPr>
        <xdr:cNvSpPr>
          <a:spLocks noChangeAspect="1" noChangeArrowheads="1"/>
        </xdr:cNvSpPr>
      </xdr:nvSpPr>
      <xdr:spPr bwMode="auto">
        <a:xfrm>
          <a:off x="2600325" y="447675"/>
          <a:ext cx="2047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752475</xdr:colOff>
      <xdr:row>5</xdr:row>
      <xdr:rowOff>123825</xdr:rowOff>
    </xdr:to>
    <xdr:sp macro="" textlink="">
      <xdr:nvSpPr>
        <xdr:cNvPr id="10413" name="AutoShape 47" descr="10__=4EBBFE6DDFC933948f9e8a93df9386909@zkb">
          <a:extLst>
            <a:ext uri="{FF2B5EF4-FFF2-40B4-BE49-F238E27FC236}">
              <a16:creationId xmlns:a16="http://schemas.microsoft.com/office/drawing/2014/main" id="{00000000-0008-0000-0200-0000AD280000}"/>
            </a:ext>
          </a:extLst>
        </xdr:cNvPr>
        <xdr:cNvSpPr>
          <a:spLocks noChangeAspect="1" noChangeArrowheads="1"/>
        </xdr:cNvSpPr>
      </xdr:nvSpPr>
      <xdr:spPr bwMode="auto">
        <a:xfrm>
          <a:off x="2600325" y="447675"/>
          <a:ext cx="20478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104775</xdr:colOff>
      <xdr:row>8</xdr:row>
      <xdr:rowOff>9524</xdr:rowOff>
    </xdr:from>
    <xdr:to>
      <xdr:col>8</xdr:col>
      <xdr:colOff>695325</xdr:colOff>
      <xdr:row>9</xdr:row>
      <xdr:rowOff>152399</xdr:rowOff>
    </xdr:to>
    <xdr:sp macro="" textlink="">
      <xdr:nvSpPr>
        <xdr:cNvPr id="9" name="Text Box 43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6810375" y="1466849"/>
          <a:ext cx="1352550" cy="447675"/>
        </a:xfrm>
        <a:prstGeom prst="rect">
          <a:avLst/>
        </a:prstGeom>
        <a:solidFill>
          <a:srgbClr val="00B050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200" b="1" i="0" u="none" strike="noStrik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Solutions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6</xdr:row>
      <xdr:rowOff>67733</xdr:rowOff>
    </xdr:from>
    <xdr:to>
      <xdr:col>10</xdr:col>
      <xdr:colOff>657225</xdr:colOff>
      <xdr:row>7</xdr:row>
      <xdr:rowOff>376767</xdr:rowOff>
    </xdr:to>
    <xdr:sp macro="" textlink="">
      <xdr:nvSpPr>
        <xdr:cNvPr id="17419" name="Text Box 11">
          <a:hlinkClick xmlns:r="http://schemas.openxmlformats.org/officeDocument/2006/relationships" r:id="rId1" tooltip="Bitte Klicken!"/>
          <a:extLst>
            <a:ext uri="{FF2B5EF4-FFF2-40B4-BE49-F238E27FC236}">
              <a16:creationId xmlns:a16="http://schemas.microsoft.com/office/drawing/2014/main" id="{00000000-0008-0000-0300-00000B440000}"/>
            </a:ext>
          </a:extLst>
        </xdr:cNvPr>
        <xdr:cNvSpPr txBox="1">
          <a:spLocks noChangeArrowheads="1"/>
        </xdr:cNvSpPr>
      </xdr:nvSpPr>
      <xdr:spPr bwMode="auto">
        <a:xfrm>
          <a:off x="10455275" y="1024466"/>
          <a:ext cx="1369483" cy="486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99FF" mc:Ignorable="a14" a14:legacySpreadsheetColorIndex="46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7A5C99" mc:Ignorable="a14" a14:legacySpreadsheetColorIndex="46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de-CH" sz="12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Leasing</a:t>
          </a:r>
        </a:p>
      </xdr:txBody>
    </xdr:sp>
    <xdr:clientData/>
  </xdr:twoCellAnchor>
  <xdr:twoCellAnchor>
    <xdr:from>
      <xdr:col>9</xdr:col>
      <xdr:colOff>66675</xdr:colOff>
      <xdr:row>1</xdr:row>
      <xdr:rowOff>133350</xdr:rowOff>
    </xdr:from>
    <xdr:to>
      <xdr:col>10</xdr:col>
      <xdr:colOff>666750</xdr:colOff>
      <xdr:row>5</xdr:row>
      <xdr:rowOff>114300</xdr:rowOff>
    </xdr:to>
    <xdr:sp macro="" textlink="">
      <xdr:nvSpPr>
        <xdr:cNvPr id="17427" name="Text Box 19">
          <a:hlinkClick xmlns:r="http://schemas.openxmlformats.org/officeDocument/2006/relationships" r:id="rId2" tooltip="Bitte Klicken!"/>
          <a:extLst>
            <a:ext uri="{FF2B5EF4-FFF2-40B4-BE49-F238E27FC236}">
              <a16:creationId xmlns:a16="http://schemas.microsoft.com/office/drawing/2014/main" id="{00000000-0008-0000-0300-000013440000}"/>
            </a:ext>
          </a:extLst>
        </xdr:cNvPr>
        <xdr:cNvSpPr txBox="1">
          <a:spLocks noChangeArrowheads="1"/>
        </xdr:cNvSpPr>
      </xdr:nvSpPr>
      <xdr:spPr bwMode="auto">
        <a:xfrm>
          <a:off x="9601200" y="361950"/>
          <a:ext cx="1362075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1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Konica Minolta Farb- und s/w-Systeme</a:t>
          </a:r>
        </a:p>
      </xdr:txBody>
    </xdr:sp>
    <xdr:clientData/>
  </xdr:twoCellAnchor>
  <xdr:twoCellAnchor>
    <xdr:from>
      <xdr:col>9</xdr:col>
      <xdr:colOff>66674</xdr:colOff>
      <xdr:row>8</xdr:row>
      <xdr:rowOff>101599</xdr:rowOff>
    </xdr:from>
    <xdr:to>
      <xdr:col>10</xdr:col>
      <xdr:colOff>666749</xdr:colOff>
      <xdr:row>9</xdr:row>
      <xdr:rowOff>227541</xdr:rowOff>
    </xdr:to>
    <xdr:sp macro="" textlink="">
      <xdr:nvSpPr>
        <xdr:cNvPr id="4" name="Text Box 43">
          <a:hlinkClick xmlns:r="http://schemas.openxmlformats.org/officeDocument/2006/relationships" r:id="rId3" tooltip="Bitte Klicken!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0455274" y="1659466"/>
          <a:ext cx="1379008" cy="413808"/>
        </a:xfrm>
        <a:prstGeom prst="rect">
          <a:avLst/>
        </a:prstGeom>
        <a:solidFill>
          <a:srgbClr val="00B050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997A5C" mc:Ignorable="a14" a14:legacySpreadsheetColorIndex="47">
              <a:gamma/>
              <a:shade val="60000"/>
              <a:invGamma/>
            </a:srgbClr>
          </a:prstShdw>
        </a:effectLst>
        <a:scene3d>
          <a:camera prst="orthographicFront"/>
          <a:lightRig rig="threePt" dir="t"/>
        </a:scene3d>
        <a:sp3d>
          <a:bevelT w="38100" h="25400"/>
        </a:sp3d>
      </xdr:spPr>
      <xdr:txBody>
        <a:bodyPr vertOverflow="clip" wrap="square" lIns="27432" tIns="22860" rIns="27432" bIns="22860" anchor="ctr" upright="1"/>
        <a:lstStyle/>
        <a:p>
          <a:pPr algn="ctr" rtl="0">
            <a:lnSpc>
              <a:spcPts val="1000"/>
            </a:lnSpc>
            <a:defRPr sz="1000"/>
          </a:pPr>
          <a:r>
            <a:rPr lang="de-CH" sz="1200" b="1" i="0" u="none" strike="noStrike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Solutions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12000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20000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120000" mc:Ignorable="a14" a14:legacySpreadsheetColorIndex="18"/>
        </a:solidFill>
        <a:ln>
          <a:noFill/>
        </a:ln>
        <a:effectLst>
          <a:prstShdw prst="shdw17" dist="17961" dir="2700000">
            <a:srgbClr xmlns:mc="http://schemas.openxmlformats.org/markup-compatibility/2006" xmlns:a14="http://schemas.microsoft.com/office/drawing/2010/main" val="120000" mc:Ignorable="a14" a14:legacySpreadsheetColorIndex="18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 /><Relationship Id="rId13" Type="http://schemas.openxmlformats.org/officeDocument/2006/relationships/ctrlProp" Target="../ctrlProps/ctrlProp10.xml" /><Relationship Id="rId18" Type="http://schemas.openxmlformats.org/officeDocument/2006/relationships/comments" Target="../comments1.xml" /><Relationship Id="rId3" Type="http://schemas.openxmlformats.org/officeDocument/2006/relationships/vmlDrawing" Target="../drawings/vmlDrawing1.vml" /><Relationship Id="rId7" Type="http://schemas.openxmlformats.org/officeDocument/2006/relationships/ctrlProp" Target="../ctrlProps/ctrlProp4.xml" /><Relationship Id="rId12" Type="http://schemas.openxmlformats.org/officeDocument/2006/relationships/ctrlProp" Target="../ctrlProps/ctrlProp9.xml" /><Relationship Id="rId17" Type="http://schemas.openxmlformats.org/officeDocument/2006/relationships/ctrlProp" Target="../ctrlProps/ctrlProp14.xml" /><Relationship Id="rId2" Type="http://schemas.openxmlformats.org/officeDocument/2006/relationships/drawing" Target="../drawings/drawing1.xml" /><Relationship Id="rId16" Type="http://schemas.openxmlformats.org/officeDocument/2006/relationships/ctrlProp" Target="../ctrlProps/ctrlProp13.xml" /><Relationship Id="rId1" Type="http://schemas.openxmlformats.org/officeDocument/2006/relationships/printerSettings" Target="../printerSettings/printerSettings1.bin" /><Relationship Id="rId6" Type="http://schemas.openxmlformats.org/officeDocument/2006/relationships/ctrlProp" Target="../ctrlProps/ctrlProp3.xml" /><Relationship Id="rId11" Type="http://schemas.openxmlformats.org/officeDocument/2006/relationships/ctrlProp" Target="../ctrlProps/ctrlProp8.xml" /><Relationship Id="rId5" Type="http://schemas.openxmlformats.org/officeDocument/2006/relationships/ctrlProp" Target="../ctrlProps/ctrlProp2.xml" /><Relationship Id="rId15" Type="http://schemas.openxmlformats.org/officeDocument/2006/relationships/ctrlProp" Target="../ctrlProps/ctrlProp12.xml" /><Relationship Id="rId10" Type="http://schemas.openxmlformats.org/officeDocument/2006/relationships/ctrlProp" Target="../ctrlProps/ctrlProp7.xml" /><Relationship Id="rId4" Type="http://schemas.openxmlformats.org/officeDocument/2006/relationships/ctrlProp" Target="../ctrlProps/ctrlProp1.xml" /><Relationship Id="rId9" Type="http://schemas.openxmlformats.org/officeDocument/2006/relationships/ctrlProp" Target="../ctrlProps/ctrlProp6.xml" /><Relationship Id="rId14" Type="http://schemas.openxmlformats.org/officeDocument/2006/relationships/ctrlProp" Target="../ctrlProps/ctrlProp1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4" Type="http://schemas.openxmlformats.org/officeDocument/2006/relationships/comments" Target="../comments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6">
    <tabColor indexed="47"/>
    <outlinePr summaryBelow="0" summaryRight="0"/>
    <pageSetUpPr fitToPage="1"/>
  </sheetPr>
  <dimension ref="A1:AD111"/>
  <sheetViews>
    <sheetView showGridLines="0" view="pageBreakPreview" topLeftCell="K1" zoomScaleNormal="100" zoomScaleSheetLayoutView="100" workbookViewId="0">
      <selection activeCell="C27" sqref="C27"/>
    </sheetView>
  </sheetViews>
  <sheetFormatPr defaultColWidth="11.32421875" defaultRowHeight="12.75" customHeight="1" x14ac:dyDescent="0.15"/>
  <cols>
    <col min="1" max="2" width="16.31640625" style="87" customWidth="1"/>
    <col min="3" max="3" width="15.5078125" style="87" customWidth="1"/>
    <col min="4" max="4" width="16.5859375" style="87" customWidth="1"/>
    <col min="5" max="5" width="14.5625" style="87" customWidth="1"/>
    <col min="6" max="6" width="4.58203125" style="87" customWidth="1"/>
    <col min="7" max="7" width="16.31640625" style="87" customWidth="1"/>
    <col min="8" max="8" width="19.55078125" style="87" customWidth="1"/>
    <col min="9" max="9" width="15.23828125" style="87" customWidth="1"/>
    <col min="10" max="10" width="12.9453125" style="87" customWidth="1"/>
    <col min="11" max="11" width="13.34765625" style="87" customWidth="1"/>
    <col min="12" max="12" width="14.5625" style="87" customWidth="1"/>
    <col min="13" max="13" width="15.640625" style="87" customWidth="1"/>
    <col min="14" max="14" width="15.1015625" style="87" customWidth="1"/>
    <col min="15" max="35" width="11.32421875" style="87" customWidth="1"/>
    <col min="36" max="16384" width="11.32421875" style="87"/>
  </cols>
  <sheetData>
    <row r="1" spans="1:29" ht="18" customHeight="1" thickBot="1" x14ac:dyDescent="0.25">
      <c r="A1" s="764" t="s">
        <v>0</v>
      </c>
      <c r="B1" s="765"/>
      <c r="C1" s="766" t="s">
        <v>378</v>
      </c>
      <c r="D1" s="766"/>
      <c r="E1" s="230"/>
      <c r="F1" s="230"/>
      <c r="G1" s="767">
        <v>46274</v>
      </c>
      <c r="H1" s="767"/>
      <c r="I1" s="230"/>
      <c r="J1" s="230"/>
      <c r="K1" s="230"/>
      <c r="L1" s="740">
        <v>46274</v>
      </c>
      <c r="M1" s="741"/>
      <c r="N1" s="580"/>
      <c r="O1" s="581"/>
      <c r="X1" s="631"/>
      <c r="AC1" s="680"/>
    </row>
    <row r="2" spans="1:29" ht="9" customHeight="1" thickBot="1" x14ac:dyDescent="0.25">
      <c r="C2" s="87" t="s">
        <v>11</v>
      </c>
      <c r="J2" s="702"/>
      <c r="K2" s="701"/>
      <c r="N2" s="581"/>
      <c r="O2" s="581"/>
      <c r="P2" s="249"/>
      <c r="S2" s="592"/>
      <c r="T2" s="601"/>
      <c r="X2" s="631"/>
      <c r="AC2" s="681"/>
    </row>
    <row r="3" spans="1:29" ht="16.350000000000001" customHeight="1" x14ac:dyDescent="0.2">
      <c r="A3" s="231" t="s">
        <v>23</v>
      </c>
      <c r="B3" s="768"/>
      <c r="C3" s="768"/>
      <c r="D3" s="395" t="s">
        <v>24</v>
      </c>
      <c r="E3" s="373"/>
      <c r="F3" s="396"/>
      <c r="G3" s="395" t="s">
        <v>25</v>
      </c>
      <c r="H3" s="431"/>
      <c r="I3" s="397" t="s">
        <v>26</v>
      </c>
      <c r="J3" s="703"/>
      <c r="K3" s="704"/>
      <c r="L3" s="397" t="s">
        <v>27</v>
      </c>
      <c r="M3" s="378"/>
      <c r="N3" s="582" t="s">
        <v>28</v>
      </c>
      <c r="O3" s="581"/>
      <c r="P3" s="250"/>
      <c r="S3" s="450"/>
      <c r="T3" s="600"/>
      <c r="X3" s="631"/>
      <c r="AC3" s="680"/>
    </row>
    <row r="4" spans="1:29" ht="16.350000000000001" customHeight="1" x14ac:dyDescent="0.2">
      <c r="A4" s="232"/>
      <c r="B4" s="376"/>
      <c r="C4" s="374"/>
      <c r="D4" s="398"/>
      <c r="E4" s="377"/>
      <c r="F4" s="399"/>
      <c r="G4" s="398"/>
      <c r="H4" s="399"/>
      <c r="I4" s="400"/>
      <c r="J4" s="705"/>
      <c r="K4" s="706"/>
      <c r="L4" s="400" t="s">
        <v>379</v>
      </c>
      <c r="M4" s="682" t="s">
        <v>380</v>
      </c>
      <c r="N4" s="582"/>
      <c r="O4" s="581"/>
      <c r="P4" s="250"/>
      <c r="S4" s="451"/>
      <c r="T4" s="603"/>
      <c r="X4" s="631"/>
      <c r="AC4" s="681"/>
    </row>
    <row r="5" spans="1:29" ht="19.5" customHeight="1" x14ac:dyDescent="0.2">
      <c r="A5" s="232" t="s">
        <v>40</v>
      </c>
      <c r="B5" s="759"/>
      <c r="C5" s="759"/>
      <c r="D5" s="759"/>
      <c r="E5" s="759"/>
      <c r="F5" s="430"/>
      <c r="G5" s="748"/>
      <c r="H5" s="748"/>
      <c r="I5" s="748"/>
      <c r="J5" s="759"/>
      <c r="K5" s="759"/>
      <c r="L5" s="759"/>
      <c r="M5" s="760"/>
      <c r="N5" s="581"/>
      <c r="O5" s="581"/>
      <c r="P5" s="250"/>
      <c r="S5" s="460"/>
      <c r="T5" s="650"/>
      <c r="AC5" s="680"/>
    </row>
    <row r="6" spans="1:29" ht="19.5" customHeight="1" x14ac:dyDescent="0.2">
      <c r="A6" s="232" t="s">
        <v>45</v>
      </c>
      <c r="B6" s="749"/>
      <c r="C6" s="749"/>
      <c r="D6" s="749"/>
      <c r="E6" s="749"/>
      <c r="F6" s="430"/>
      <c r="G6" s="749"/>
      <c r="H6" s="749"/>
      <c r="I6" s="374"/>
      <c r="J6" s="707"/>
      <c r="K6" s="708"/>
      <c r="L6" s="377"/>
      <c r="M6" s="401"/>
      <c r="N6" s="581"/>
      <c r="O6" s="581"/>
      <c r="P6" s="249"/>
      <c r="S6" s="90"/>
      <c r="AC6" s="681"/>
    </row>
    <row r="7" spans="1:29" ht="19.5" customHeight="1" x14ac:dyDescent="0.2">
      <c r="A7" s="232" t="s">
        <v>48</v>
      </c>
      <c r="B7" s="749"/>
      <c r="C7" s="749"/>
      <c r="D7" s="749"/>
      <c r="E7" s="749"/>
      <c r="F7" s="430"/>
      <c r="G7" s="749"/>
      <c r="H7" s="749"/>
      <c r="I7" s="375"/>
      <c r="J7" s="759"/>
      <c r="K7" s="759"/>
      <c r="L7" s="759"/>
      <c r="M7" s="760"/>
      <c r="N7" s="581"/>
      <c r="O7" s="581"/>
      <c r="P7" s="429"/>
      <c r="S7" s="90"/>
      <c r="AC7" s="680"/>
    </row>
    <row r="8" spans="1:29" ht="19.5" customHeight="1" x14ac:dyDescent="0.2">
      <c r="A8" s="232" t="s">
        <v>51</v>
      </c>
      <c r="B8" s="749"/>
      <c r="C8" s="749"/>
      <c r="D8" s="749"/>
      <c r="E8" s="749"/>
      <c r="F8" s="749"/>
      <c r="G8" s="749"/>
      <c r="H8" s="376"/>
      <c r="I8" s="377"/>
      <c r="J8" s="709"/>
      <c r="K8" s="710"/>
      <c r="L8" s="400" t="s">
        <v>381</v>
      </c>
      <c r="M8" s="252"/>
      <c r="N8" s="581"/>
      <c r="O8" s="581"/>
      <c r="P8" s="429"/>
      <c r="S8" s="90"/>
      <c r="AC8" s="681"/>
    </row>
    <row r="9" spans="1:29" ht="19.5" customHeight="1" x14ac:dyDescent="0.2">
      <c r="A9" s="232" t="s">
        <v>53</v>
      </c>
      <c r="B9" s="763"/>
      <c r="C9" s="749"/>
      <c r="D9" s="749"/>
      <c r="E9" s="749"/>
      <c r="F9" s="749"/>
      <c r="G9" s="749"/>
      <c r="H9" s="374"/>
      <c r="I9" s="377"/>
      <c r="J9" s="695"/>
      <c r="K9" s="696"/>
      <c r="L9" s="400" t="s">
        <v>54</v>
      </c>
      <c r="M9" s="448">
        <f ca="1">TODAY()</f>
        <v>46274</v>
      </c>
      <c r="N9" s="581"/>
      <c r="O9" s="583"/>
      <c r="P9" s="239"/>
      <c r="S9" s="90"/>
      <c r="AC9" s="680"/>
    </row>
    <row r="10" spans="1:29" ht="27.75" customHeight="1" x14ac:dyDescent="0.2">
      <c r="A10" s="232" t="s">
        <v>56</v>
      </c>
      <c r="B10" s="444" t="s">
        <v>57</v>
      </c>
      <c r="C10" s="446" t="str">
        <f>VLOOKUP($B$10,tblZaehler,3,FALSE)</f>
        <v xml:space="preserve"> -</v>
      </c>
      <c r="D10" s="442"/>
      <c r="E10" s="442"/>
      <c r="F10" s="442"/>
      <c r="G10" s="443"/>
      <c r="H10" s="761" t="str">
        <f>VLOOKUP($B$10,tblZaehler,4,FALSE)</f>
        <v xml:space="preserve"> -</v>
      </c>
      <c r="I10" s="762"/>
      <c r="J10" s="762"/>
      <c r="K10" s="762"/>
      <c r="L10" s="762"/>
      <c r="M10" s="447" t="str">
        <f>VLOOKUP($B$10,tblZaehler,5,FALSE)</f>
        <v xml:space="preserve"> -</v>
      </c>
      <c r="N10" s="581"/>
      <c r="O10" s="583"/>
      <c r="AC10" s="681"/>
    </row>
    <row r="11" spans="1:29" ht="20.100000000000001" customHeight="1" x14ac:dyDescent="0.2">
      <c r="A11" s="232" t="str">
        <f>IF(OR($B$10="Autonomously",$B$10="Web-Portal manually",$B$10="List"),INDEX(lstLabelKontakt,1),"")</f>
        <v/>
      </c>
      <c r="B11" s="445" t="str">
        <f>IF(OR($B$10="Autonomously",$B$10="Web-Portal manually",$B$10="List"),INDEX(lstLabelKontakt,2),"")</f>
        <v/>
      </c>
      <c r="C11" s="769"/>
      <c r="D11" s="770"/>
      <c r="E11" s="445" t="str">
        <f>IF(OR($B$10="Autonomously",$B$10="Web-Portal manually",$B$10="List"),INDEX(lstLabelKontakt,3),"")</f>
        <v/>
      </c>
      <c r="F11" s="769"/>
      <c r="G11" s="770"/>
      <c r="H11" s="445" t="str">
        <f>IF(OR($B$10="Autonomously",$B$10="Web-Portal manually",$B$10="List"),INDEX(lstLabelKontakt,4),"")</f>
        <v/>
      </c>
      <c r="I11" s="697"/>
      <c r="J11" s="698"/>
      <c r="K11" s="699"/>
      <c r="M11" s="233"/>
      <c r="N11" s="581"/>
      <c r="O11" s="583"/>
      <c r="AC11" s="680"/>
    </row>
    <row r="12" spans="1:29" ht="7.35" customHeight="1" thickBot="1" x14ac:dyDescent="0.25">
      <c r="A12" s="234"/>
      <c r="B12" s="235"/>
      <c r="C12" s="235"/>
      <c r="D12" s="235"/>
      <c r="E12" s="235"/>
      <c r="F12" s="235"/>
      <c r="G12" s="235"/>
      <c r="H12" s="236"/>
      <c r="I12" s="236"/>
      <c r="J12" s="237"/>
      <c r="K12" s="237"/>
      <c r="L12" s="237"/>
      <c r="M12" s="238"/>
      <c r="N12" s="581"/>
      <c r="O12" s="583"/>
      <c r="AC12" s="681"/>
    </row>
    <row r="13" spans="1:29" ht="6" customHeight="1" thickBot="1" x14ac:dyDescent="0.25">
      <c r="B13" s="94"/>
      <c r="C13" s="94"/>
      <c r="D13" s="94"/>
      <c r="E13" s="94"/>
      <c r="F13" s="94"/>
      <c r="G13" s="94"/>
      <c r="J13" s="700"/>
      <c r="K13" s="701"/>
      <c r="L13" s="91"/>
      <c r="N13" s="581"/>
      <c r="O13" s="583"/>
      <c r="AC13" s="680"/>
    </row>
    <row r="14" spans="1:29" ht="15" customHeight="1" thickBot="1" x14ac:dyDescent="0.25">
      <c r="A14" s="754" t="s">
        <v>62</v>
      </c>
      <c r="B14" s="755"/>
      <c r="C14" s="95" t="b">
        <v>0</v>
      </c>
      <c r="D14" s="49"/>
      <c r="E14" s="49"/>
      <c r="F14" s="49"/>
      <c r="G14" s="49"/>
      <c r="H14" s="251">
        <f>IF(J16=12,24,IF(J16=24,24/0.95,J16))</f>
        <v>48</v>
      </c>
      <c r="I14" s="212" t="s">
        <v>63</v>
      </c>
      <c r="J14" s="602" t="s">
        <v>64</v>
      </c>
      <c r="K14" s="50"/>
      <c r="L14" s="755" t="s">
        <v>65</v>
      </c>
      <c r="M14" s="758"/>
      <c r="N14" s="581"/>
      <c r="O14" s="583"/>
      <c r="AC14" s="681"/>
    </row>
    <row r="15" spans="1:29" ht="15" customHeight="1" thickBot="1" x14ac:dyDescent="0.25">
      <c r="A15" s="756" t="s">
        <v>34</v>
      </c>
      <c r="B15" s="757"/>
      <c r="C15" s="247"/>
      <c r="D15" s="96"/>
      <c r="E15" s="96" t="b">
        <v>0</v>
      </c>
      <c r="F15" s="96"/>
      <c r="G15" s="96">
        <f>IF(I16=1,1,IF(I16=3,1,IF(I16=4,1,0)))</f>
        <v>0</v>
      </c>
      <c r="H15" s="97" t="b">
        <v>0</v>
      </c>
      <c r="I15" s="208"/>
      <c r="J15" s="43" t="s">
        <v>67</v>
      </c>
      <c r="K15" s="43"/>
      <c r="L15" s="44" t="s">
        <v>2</v>
      </c>
      <c r="M15" s="209" t="s">
        <v>29</v>
      </c>
      <c r="N15" s="581"/>
      <c r="O15" s="583"/>
      <c r="AC15" s="680"/>
    </row>
    <row r="16" spans="1:29" ht="15" customHeight="1" thickBot="1" x14ac:dyDescent="0.25">
      <c r="A16" s="756" t="s">
        <v>7</v>
      </c>
      <c r="B16" s="757"/>
      <c r="C16" s="99"/>
      <c r="D16" s="99"/>
      <c r="E16" s="246"/>
      <c r="F16" s="207" t="b">
        <v>0</v>
      </c>
      <c r="G16" s="210">
        <v>1.8914E-2</v>
      </c>
      <c r="H16" s="210"/>
      <c r="I16" s="100">
        <v>2</v>
      </c>
      <c r="J16" s="402">
        <v>48</v>
      </c>
      <c r="K16" s="100"/>
      <c r="L16" s="51" t="s">
        <v>3</v>
      </c>
      <c r="M16" s="211" t="s">
        <v>36</v>
      </c>
      <c r="N16" s="581"/>
      <c r="O16" s="583"/>
      <c r="AC16" s="681"/>
    </row>
    <row r="17" spans="1:29" ht="12.75" customHeight="1" thickBot="1" x14ac:dyDescent="0.25">
      <c r="A17" s="101" t="b">
        <v>0</v>
      </c>
      <c r="B17" s="248" t="b">
        <v>1</v>
      </c>
      <c r="H17" s="102"/>
      <c r="I17" s="102"/>
      <c r="J17" s="91"/>
      <c r="K17" s="91"/>
      <c r="L17" s="91"/>
      <c r="N17" s="579"/>
      <c r="O17" s="579"/>
      <c r="AC17" s="680"/>
    </row>
    <row r="18" spans="1:29" ht="14.25" customHeight="1" x14ac:dyDescent="0.2">
      <c r="A18" s="751" t="s">
        <v>70</v>
      </c>
      <c r="B18" s="752"/>
      <c r="C18" s="752"/>
      <c r="D18" s="752"/>
      <c r="E18" s="752"/>
      <c r="F18" s="752"/>
      <c r="G18" s="752"/>
      <c r="H18" s="752"/>
      <c r="I18" s="752"/>
      <c r="J18" s="752"/>
      <c r="K18" s="752"/>
      <c r="L18" s="752"/>
      <c r="M18" s="753"/>
      <c r="AC18" s="681"/>
    </row>
    <row r="19" spans="1:29" ht="14.25" customHeight="1" x14ac:dyDescent="0.2">
      <c r="A19" s="103" t="s">
        <v>71</v>
      </c>
      <c r="B19" s="406"/>
      <c r="C19" s="104"/>
      <c r="D19" s="104"/>
      <c r="E19" s="104"/>
      <c r="F19" s="104"/>
      <c r="G19" s="750" t="s">
        <v>72</v>
      </c>
      <c r="H19" s="750"/>
      <c r="I19" s="105"/>
      <c r="J19" s="403"/>
      <c r="K19" s="106"/>
      <c r="L19" s="106"/>
      <c r="M19" s="405">
        <v>1</v>
      </c>
      <c r="AC19" s="680"/>
    </row>
    <row r="20" spans="1:29" ht="14.25" customHeight="1" thickBot="1" x14ac:dyDescent="0.25">
      <c r="A20" s="108" t="s">
        <v>73</v>
      </c>
      <c r="B20" s="407"/>
      <c r="C20" s="106"/>
      <c r="D20" s="106"/>
      <c r="E20" s="462" t="s">
        <v>74</v>
      </c>
      <c r="F20" s="109"/>
      <c r="G20" s="109"/>
      <c r="H20" s="106"/>
      <c r="I20" s="106"/>
      <c r="J20" s="106"/>
      <c r="K20" s="106"/>
      <c r="L20" s="106"/>
      <c r="M20" s="107"/>
      <c r="N20" s="91"/>
      <c r="AC20" s="681"/>
    </row>
    <row r="21" spans="1:29" ht="14.25" customHeight="1" x14ac:dyDescent="0.2">
      <c r="A21" s="108" t="s">
        <v>76</v>
      </c>
      <c r="B21" s="408"/>
      <c r="C21" s="106"/>
      <c r="D21" s="307" t="b">
        <v>0</v>
      </c>
      <c r="E21" s="771">
        <v>0</v>
      </c>
      <c r="F21" s="109"/>
      <c r="G21" s="111" t="s">
        <v>77</v>
      </c>
      <c r="H21" s="106"/>
      <c r="I21" s="106"/>
      <c r="J21" s="404"/>
      <c r="K21" s="106"/>
      <c r="L21" s="106"/>
      <c r="M21" s="112">
        <f>IF(D21=TRUE,J19*J21*M19,0)</f>
        <v>0</v>
      </c>
      <c r="AC21" s="680"/>
    </row>
    <row r="22" spans="1:29" ht="14.25" customHeight="1" thickBot="1" x14ac:dyDescent="0.25">
      <c r="A22" s="108"/>
      <c r="B22" s="110"/>
      <c r="C22" s="106"/>
      <c r="D22" s="110"/>
      <c r="E22" s="772"/>
      <c r="F22" s="109"/>
      <c r="G22" s="109"/>
      <c r="H22" s="106"/>
      <c r="I22" s="106"/>
      <c r="J22" s="106"/>
      <c r="K22" s="106"/>
      <c r="L22" s="106"/>
      <c r="M22" s="107"/>
      <c r="N22" s="40"/>
      <c r="AC22" s="681"/>
    </row>
    <row r="23" spans="1:29" ht="14.25" customHeight="1" thickBot="1" x14ac:dyDescent="0.25">
      <c r="A23" s="113"/>
      <c r="B23" s="114"/>
      <c r="C23" s="114"/>
      <c r="D23" s="115"/>
      <c r="E23" s="116"/>
      <c r="F23" s="116"/>
      <c r="G23" s="114" t="s">
        <v>80</v>
      </c>
      <c r="H23" s="114"/>
      <c r="I23" s="114"/>
      <c r="J23" s="114"/>
      <c r="K23" s="114"/>
      <c r="L23" s="117" t="b">
        <v>0</v>
      </c>
      <c r="M23" s="118"/>
      <c r="N23" s="40"/>
      <c r="AC23" s="680"/>
    </row>
    <row r="24" spans="1:29" ht="14.1" customHeight="1" thickBot="1" x14ac:dyDescent="0.25">
      <c r="H24" s="102"/>
      <c r="I24" s="102"/>
      <c r="J24" s="91"/>
      <c r="K24" s="91"/>
      <c r="L24" s="91"/>
      <c r="N24" s="127"/>
      <c r="AC24" s="681"/>
    </row>
    <row r="25" spans="1:29" ht="14.1" customHeight="1" thickBot="1" x14ac:dyDescent="0.25">
      <c r="A25" s="719" t="s">
        <v>81</v>
      </c>
      <c r="B25" s="720"/>
      <c r="C25" s="720"/>
      <c r="D25" s="720"/>
      <c r="E25" s="721"/>
      <c r="F25" s="119"/>
      <c r="G25" s="722" t="s">
        <v>82</v>
      </c>
      <c r="H25" s="723"/>
      <c r="I25" s="723"/>
      <c r="J25" s="723"/>
      <c r="K25" s="723"/>
      <c r="L25" s="723"/>
      <c r="M25" s="724"/>
      <c r="N25" s="127"/>
      <c r="AC25" s="680"/>
    </row>
    <row r="26" spans="1:29" ht="14.1" customHeight="1" thickBot="1" x14ac:dyDescent="0.25">
      <c r="A26" s="717" t="s">
        <v>83</v>
      </c>
      <c r="B26" s="718"/>
      <c r="C26" s="457" t="s">
        <v>84</v>
      </c>
      <c r="D26" s="367" t="s">
        <v>85</v>
      </c>
      <c r="E26" s="458" t="s">
        <v>86</v>
      </c>
      <c r="F26" s="40"/>
      <c r="G26" s="733" t="s">
        <v>87</v>
      </c>
      <c r="H26" s="747"/>
      <c r="I26" s="120" t="s">
        <v>88</v>
      </c>
      <c r="J26" s="52" t="s">
        <v>85</v>
      </c>
      <c r="K26" s="42" t="s">
        <v>86</v>
      </c>
      <c r="L26" s="120" t="s">
        <v>89</v>
      </c>
      <c r="M26" s="668" t="s">
        <v>90</v>
      </c>
      <c r="N26" s="127"/>
      <c r="AC26" s="681"/>
    </row>
    <row r="27" spans="1:29" ht="14.1" customHeight="1" x14ac:dyDescent="0.2">
      <c r="A27" s="452"/>
      <c r="B27" s="453"/>
      <c r="C27" s="454">
        <v>2000</v>
      </c>
      <c r="D27" s="455">
        <v>0.6</v>
      </c>
      <c r="E27" s="456">
        <f>C27*D27</f>
        <v>1200</v>
      </c>
      <c r="F27" s="122"/>
      <c r="G27" s="257" t="s">
        <v>91</v>
      </c>
      <c r="H27" s="258"/>
      <c r="I27" s="259">
        <f>'Detail Solutions'!E39</f>
        <v>0</v>
      </c>
      <c r="J27" s="284"/>
      <c r="K27" s="255">
        <f>'Detail Solutions'!G39</f>
        <v>0</v>
      </c>
      <c r="L27" s="604">
        <f>'Detail Solutions'!H39</f>
        <v>0</v>
      </c>
      <c r="M27" s="669" t="str">
        <f>IFERROR(ROUND(((K27/$K$31)*$M$31)*20,0)/20,"")</f>
        <v/>
      </c>
      <c r="N27" s="127"/>
      <c r="AC27" s="680"/>
    </row>
    <row r="28" spans="1:29" ht="14.1" customHeight="1" x14ac:dyDescent="0.2">
      <c r="A28" s="256"/>
      <c r="B28" s="204"/>
      <c r="C28" s="123"/>
      <c r="D28" s="124">
        <v>0.6</v>
      </c>
      <c r="E28" s="125">
        <f>C28*D28</f>
        <v>0</v>
      </c>
      <c r="F28" s="122"/>
      <c r="G28" s="676"/>
      <c r="H28" s="351"/>
      <c r="I28" s="352"/>
      <c r="J28" s="353">
        <v>0.7</v>
      </c>
      <c r="K28" s="126">
        <f>I28*J28</f>
        <v>0</v>
      </c>
      <c r="L28" s="622">
        <f>I28</f>
        <v>0</v>
      </c>
      <c r="M28" s="670" t="str">
        <f t="shared" ref="M28:M30" si="0">IFERROR(ROUND(((K28/$K$31)*$M$31)*20,0)/20,"")</f>
        <v/>
      </c>
      <c r="N28" s="127"/>
      <c r="Q28" s="436"/>
      <c r="R28" s="437"/>
      <c r="S28" s="436"/>
      <c r="T28" s="436"/>
      <c r="U28" s="435"/>
      <c r="V28" s="441"/>
      <c r="AC28" s="681"/>
    </row>
    <row r="29" spans="1:29" ht="14.1" customHeight="1" x14ac:dyDescent="0.2">
      <c r="A29" s="203"/>
      <c r="B29" s="204"/>
      <c r="C29" s="123"/>
      <c r="D29" s="124">
        <v>0.6</v>
      </c>
      <c r="E29" s="125">
        <f>C29*D29</f>
        <v>0</v>
      </c>
      <c r="F29" s="122"/>
      <c r="G29" s="676"/>
      <c r="H29" s="351"/>
      <c r="I29" s="352">
        <v>0</v>
      </c>
      <c r="J29" s="353">
        <v>0.7</v>
      </c>
      <c r="K29" s="126">
        <f>I29*J29</f>
        <v>0</v>
      </c>
      <c r="L29" s="622">
        <f>I29</f>
        <v>0</v>
      </c>
      <c r="M29" s="670" t="str">
        <f t="shared" si="0"/>
        <v/>
      </c>
      <c r="N29" s="127"/>
      <c r="Q29" s="436"/>
      <c r="R29" s="437"/>
      <c r="S29" s="436"/>
      <c r="T29" s="436"/>
      <c r="U29" s="435"/>
      <c r="V29" s="439"/>
      <c r="AC29" s="680"/>
    </row>
    <row r="30" spans="1:29" ht="14.1" customHeight="1" thickBot="1" x14ac:dyDescent="0.25">
      <c r="A30" s="203"/>
      <c r="B30" s="204"/>
      <c r="C30" s="123"/>
      <c r="D30" s="124">
        <v>0.6</v>
      </c>
      <c r="E30" s="125">
        <f>C30*D30</f>
        <v>0</v>
      </c>
      <c r="F30" s="122"/>
      <c r="G30" s="676"/>
      <c r="H30" s="351"/>
      <c r="I30" s="352">
        <v>0</v>
      </c>
      <c r="J30" s="353">
        <v>0.7</v>
      </c>
      <c r="K30" s="126">
        <f>I30*J30</f>
        <v>0</v>
      </c>
      <c r="L30" s="622">
        <f>I30</f>
        <v>0</v>
      </c>
      <c r="M30" s="671" t="str">
        <f t="shared" si="0"/>
        <v/>
      </c>
      <c r="N30" s="127"/>
      <c r="Q30" s="432"/>
      <c r="R30" s="433"/>
      <c r="S30" s="432"/>
      <c r="T30" s="432"/>
      <c r="U30" s="432"/>
      <c r="V30" s="439"/>
      <c r="AC30" s="681"/>
    </row>
    <row r="31" spans="1:29" ht="14.1" customHeight="1" thickBot="1" x14ac:dyDescent="0.25">
      <c r="A31" s="203"/>
      <c r="B31" s="204"/>
      <c r="C31" s="123"/>
      <c r="D31" s="124">
        <v>0.6</v>
      </c>
      <c r="E31" s="125">
        <f>C31*D31</f>
        <v>0</v>
      </c>
      <c r="F31" s="122"/>
      <c r="G31" s="347" t="s">
        <v>101</v>
      </c>
      <c r="H31" s="348"/>
      <c r="I31" s="349">
        <f>SUM(I27:I30)</f>
        <v>0</v>
      </c>
      <c r="J31" s="350"/>
      <c r="K31" s="253">
        <f>SUM(K27:K30)</f>
        <v>0</v>
      </c>
      <c r="L31" s="349"/>
      <c r="M31" s="59">
        <f>ROUND(IF($I$16=2,L32/$J$16,IF($I$16=5,L32/$J$16,0))*20,0)/20</f>
        <v>0</v>
      </c>
      <c r="N31" s="127"/>
      <c r="Q31" s="432"/>
      <c r="R31" s="433"/>
      <c r="S31" s="432"/>
      <c r="T31" s="432"/>
      <c r="U31" s="432"/>
      <c r="V31" s="439"/>
      <c r="AC31" s="680"/>
    </row>
    <row r="32" spans="1:29" ht="14.1" customHeight="1" thickBot="1" x14ac:dyDescent="0.25">
      <c r="A32" s="203"/>
      <c r="B32" s="204"/>
      <c r="C32" s="123"/>
      <c r="D32" s="124">
        <v>0.6</v>
      </c>
      <c r="E32" s="125">
        <f t="shared" ref="E32:E52" si="1">C32*D32</f>
        <v>0</v>
      </c>
      <c r="F32" s="122"/>
      <c r="G32" s="129" t="s">
        <v>74</v>
      </c>
      <c r="H32" s="627" t="str">
        <f>IFERROR(1-(L32/I31),"")</f>
        <v/>
      </c>
      <c r="I32" s="593">
        <f>L32-K31</f>
        <v>0</v>
      </c>
      <c r="J32" s="254"/>
      <c r="K32" s="254" t="s">
        <v>105</v>
      </c>
      <c r="L32" s="131">
        <f>SUM(L27:L31)</f>
        <v>0</v>
      </c>
      <c r="M32" s="132"/>
      <c r="N32" s="127"/>
      <c r="Q32" s="432"/>
      <c r="R32" s="433"/>
      <c r="S32" s="432"/>
      <c r="T32" s="432"/>
      <c r="U32" s="432"/>
      <c r="V32" s="439"/>
      <c r="AC32" s="681"/>
    </row>
    <row r="33" spans="1:29" ht="14.1" customHeight="1" thickBot="1" x14ac:dyDescent="0.25">
      <c r="A33" s="203"/>
      <c r="B33" s="204"/>
      <c r="C33" s="123"/>
      <c r="D33" s="124">
        <v>0.6</v>
      </c>
      <c r="E33" s="125">
        <f t="shared" si="1"/>
        <v>0</v>
      </c>
      <c r="F33" s="122"/>
      <c r="G33" s="133"/>
      <c r="H33" s="628" t="s">
        <v>109</v>
      </c>
      <c r="I33" s="620" t="str">
        <f>IFERROR(I32/L32,"")</f>
        <v/>
      </c>
      <c r="J33" s="280"/>
      <c r="K33" s="280"/>
      <c r="L33" s="281"/>
      <c r="M33" s="132"/>
      <c r="N33" s="127"/>
      <c r="Q33" s="432"/>
      <c r="R33" s="433"/>
      <c r="S33" s="432"/>
      <c r="T33" s="432"/>
      <c r="U33" s="432"/>
      <c r="V33" s="439"/>
      <c r="AC33" s="680"/>
    </row>
    <row r="34" spans="1:29" ht="14.1" customHeight="1" thickBot="1" x14ac:dyDescent="0.25">
      <c r="A34" s="203"/>
      <c r="B34" s="204"/>
      <c r="C34" s="123"/>
      <c r="D34" s="124">
        <v>0.6</v>
      </c>
      <c r="E34" s="125">
        <f t="shared" si="1"/>
        <v>0</v>
      </c>
      <c r="F34" s="122"/>
      <c r="G34" s="742" t="s">
        <v>114</v>
      </c>
      <c r="H34" s="743"/>
      <c r="I34" s="743"/>
      <c r="J34" s="743"/>
      <c r="K34" s="743"/>
      <c r="L34" s="743"/>
      <c r="M34" s="744"/>
      <c r="N34" s="127"/>
      <c r="Q34" s="432"/>
      <c r="R34" s="433"/>
      <c r="S34" s="432"/>
      <c r="T34" s="432"/>
      <c r="U34" s="432"/>
      <c r="V34" s="439"/>
      <c r="AC34" s="681"/>
    </row>
    <row r="35" spans="1:29" ht="14.1" customHeight="1" thickBot="1" x14ac:dyDescent="0.25">
      <c r="A35" s="203"/>
      <c r="B35" s="204"/>
      <c r="C35" s="123"/>
      <c r="D35" s="124">
        <v>0.6</v>
      </c>
      <c r="E35" s="125">
        <f t="shared" si="1"/>
        <v>0</v>
      </c>
      <c r="F35" s="122"/>
      <c r="G35" s="745" t="s">
        <v>87</v>
      </c>
      <c r="H35" s="746"/>
      <c r="I35" s="291" t="s">
        <v>88</v>
      </c>
      <c r="J35" s="292" t="s">
        <v>85</v>
      </c>
      <c r="K35" s="293" t="s">
        <v>86</v>
      </c>
      <c r="L35" s="621" t="s">
        <v>89</v>
      </c>
      <c r="M35" s="672" t="s">
        <v>90</v>
      </c>
      <c r="Q35" s="432"/>
      <c r="R35" s="433"/>
      <c r="S35" s="432"/>
      <c r="T35" s="432"/>
      <c r="U35" s="432"/>
      <c r="V35" s="439"/>
      <c r="AC35" s="680"/>
    </row>
    <row r="36" spans="1:29" ht="14.1" customHeight="1" x14ac:dyDescent="0.2">
      <c r="A36" s="203"/>
      <c r="B36" s="204"/>
      <c r="C36" s="123"/>
      <c r="D36" s="124">
        <v>0.6</v>
      </c>
      <c r="E36" s="125">
        <f t="shared" si="1"/>
        <v>0</v>
      </c>
      <c r="F36" s="122"/>
      <c r="G36" s="257" t="s">
        <v>91</v>
      </c>
      <c r="H36" s="258"/>
      <c r="I36" s="259">
        <f>'Detail Solutions'!E57</f>
        <v>0</v>
      </c>
      <c r="J36" s="284"/>
      <c r="K36" s="255">
        <f>'Detail Solutions'!G57</f>
        <v>0</v>
      </c>
      <c r="L36" s="604">
        <f>'Detail Solutions'!H57</f>
        <v>0</v>
      </c>
      <c r="M36" s="669" t="str">
        <f>IFERROR(ROUND(((K36/$K$38)*$M$39)*20,0)/20,"")</f>
        <v/>
      </c>
      <c r="N36" s="127"/>
      <c r="Q36" s="432"/>
      <c r="R36" s="433"/>
      <c r="S36" s="432"/>
      <c r="T36" s="432"/>
      <c r="U36" s="432"/>
      <c r="V36" s="439"/>
      <c r="AC36" s="681"/>
    </row>
    <row r="37" spans="1:29" ht="14.25" customHeight="1" thickBot="1" x14ac:dyDescent="0.25">
      <c r="A37" s="203"/>
      <c r="B37" s="204"/>
      <c r="C37" s="123"/>
      <c r="D37" s="124">
        <v>0.6</v>
      </c>
      <c r="E37" s="125">
        <f t="shared" si="1"/>
        <v>0</v>
      </c>
      <c r="F37" s="122"/>
      <c r="G37" s="676"/>
      <c r="H37" s="351"/>
      <c r="I37" s="352">
        <v>0</v>
      </c>
      <c r="J37" s="353">
        <v>0.7</v>
      </c>
      <c r="K37" s="126">
        <f>I37*J37</f>
        <v>0</v>
      </c>
      <c r="L37" s="622">
        <f>I37</f>
        <v>0</v>
      </c>
      <c r="M37" s="671" t="str">
        <f>IFERROR(ROUND(((K37/$K$38)*$M$39)*20,0)/20,"")</f>
        <v/>
      </c>
      <c r="N37" s="127"/>
      <c r="Q37" s="432"/>
      <c r="R37" s="433"/>
      <c r="S37" s="432"/>
      <c r="T37" s="432"/>
      <c r="U37" s="432"/>
      <c r="V37" s="439"/>
      <c r="AC37" s="680"/>
    </row>
    <row r="38" spans="1:29" ht="14.25" customHeight="1" thickBot="1" x14ac:dyDescent="0.25">
      <c r="A38" s="203"/>
      <c r="B38" s="204"/>
      <c r="C38" s="123"/>
      <c r="D38" s="124">
        <v>0.6</v>
      </c>
      <c r="E38" s="125">
        <f t="shared" si="1"/>
        <v>0</v>
      </c>
      <c r="F38" s="122"/>
      <c r="G38" s="347" t="s">
        <v>101</v>
      </c>
      <c r="H38" s="348"/>
      <c r="I38" s="349">
        <f>SUM(I36:I37)</f>
        <v>0</v>
      </c>
      <c r="J38" s="350"/>
      <c r="K38" s="253">
        <f>K37+K36</f>
        <v>0</v>
      </c>
      <c r="L38" s="605"/>
      <c r="M38" s="624"/>
      <c r="N38" s="127"/>
      <c r="Q38" s="432"/>
      <c r="R38" s="434"/>
      <c r="S38" s="432"/>
      <c r="T38" s="432"/>
      <c r="U38" s="432"/>
      <c r="V38" s="439"/>
      <c r="AC38" s="681"/>
    </row>
    <row r="39" spans="1:29" ht="14.25" customHeight="1" thickBot="1" x14ac:dyDescent="0.25">
      <c r="A39" s="203"/>
      <c r="B39" s="204"/>
      <c r="C39" s="123"/>
      <c r="D39" s="124">
        <v>0.6</v>
      </c>
      <c r="E39" s="125">
        <f t="shared" si="1"/>
        <v>0</v>
      </c>
      <c r="F39" s="122"/>
      <c r="G39" s="129" t="s">
        <v>74</v>
      </c>
      <c r="H39" s="627" t="str">
        <f>IFERROR(1-(L39/I38),"")</f>
        <v/>
      </c>
      <c r="I39" s="464">
        <f>L39-K38</f>
        <v>0</v>
      </c>
      <c r="J39" s="254"/>
      <c r="K39" s="254" t="s">
        <v>105</v>
      </c>
      <c r="L39" s="623">
        <f>SUM(L36:L38)</f>
        <v>0</v>
      </c>
      <c r="M39" s="625">
        <f>ROUND(IF($I$16=2,L39/$J$16,IF($I$16=5,L39/$J$16,0))*20,0)/20</f>
        <v>0</v>
      </c>
      <c r="N39" s="127"/>
      <c r="Q39" s="432"/>
      <c r="R39" s="434"/>
      <c r="S39" s="432"/>
      <c r="T39" s="432"/>
      <c r="U39" s="432"/>
      <c r="V39" s="439"/>
      <c r="AC39" s="680"/>
    </row>
    <row r="40" spans="1:29" ht="14.25" customHeight="1" thickBot="1" x14ac:dyDescent="0.25">
      <c r="A40" s="203"/>
      <c r="B40" s="204"/>
      <c r="C40" s="123"/>
      <c r="D40" s="124">
        <v>0.6</v>
      </c>
      <c r="E40" s="125">
        <f t="shared" si="1"/>
        <v>0</v>
      </c>
      <c r="F40" s="122"/>
      <c r="G40" s="777" t="s">
        <v>137</v>
      </c>
      <c r="H40" s="778"/>
      <c r="I40" s="629" t="s">
        <v>16</v>
      </c>
      <c r="J40" s="288" t="s">
        <v>138</v>
      </c>
      <c r="K40" s="606"/>
      <c r="L40" s="286" t="s">
        <v>139</v>
      </c>
      <c r="M40" s="232"/>
      <c r="N40" s="127"/>
      <c r="Q40" s="432"/>
      <c r="R40" s="434"/>
      <c r="S40" s="432"/>
      <c r="T40" s="432"/>
      <c r="U40" s="432"/>
      <c r="V40" s="439"/>
      <c r="AC40" s="681"/>
    </row>
    <row r="41" spans="1:29" ht="14.25" customHeight="1" thickBot="1" x14ac:dyDescent="0.25">
      <c r="A41" s="203"/>
      <c r="B41" s="204"/>
      <c r="C41" s="123"/>
      <c r="D41" s="124">
        <v>0.6</v>
      </c>
      <c r="E41" s="125">
        <f>C41*D41</f>
        <v>0</v>
      </c>
      <c r="F41" s="122"/>
      <c r="H41" s="626" t="s">
        <v>109</v>
      </c>
      <c r="I41" s="620" t="str">
        <f>IFERROR(I39/L39,"")</f>
        <v/>
      </c>
      <c r="J41" s="290">
        <f>IF(I40=INDEX(lstJaNein,2),L39,0)</f>
        <v>0</v>
      </c>
      <c r="K41" s="607"/>
      <c r="L41" s="287">
        <f>IF(I40=INDEX(lstJaNein,1),L39,0)</f>
        <v>0</v>
      </c>
      <c r="M41" s="294"/>
      <c r="N41" s="127"/>
      <c r="Q41" s="432"/>
      <c r="R41" s="434"/>
      <c r="S41" s="432"/>
      <c r="T41" s="432"/>
      <c r="U41" s="432"/>
      <c r="V41" s="439"/>
      <c r="AC41" s="680"/>
    </row>
    <row r="42" spans="1:29" ht="14.25" customHeight="1" thickBot="1" x14ac:dyDescent="0.25">
      <c r="A42" s="203"/>
      <c r="B42" s="204"/>
      <c r="C42" s="123"/>
      <c r="D42" s="124">
        <v>0.6</v>
      </c>
      <c r="E42" s="125">
        <f>C42*D42</f>
        <v>0</v>
      </c>
      <c r="F42" s="122"/>
      <c r="J42" s="594"/>
      <c r="K42" s="594"/>
      <c r="L42" s="595"/>
      <c r="M42" s="596"/>
      <c r="N42" s="127"/>
      <c r="Q42" s="432"/>
      <c r="R42" s="434"/>
      <c r="S42" s="432"/>
      <c r="T42" s="432"/>
      <c r="U42" s="432"/>
      <c r="V42" s="439"/>
      <c r="AC42" s="681"/>
    </row>
    <row r="43" spans="1:29" ht="14.25" customHeight="1" x14ac:dyDescent="0.2">
      <c r="A43" s="203"/>
      <c r="B43" s="204"/>
      <c r="C43" s="123"/>
      <c r="D43" s="124">
        <v>0.6</v>
      </c>
      <c r="E43" s="125">
        <f>C43*D43</f>
        <v>0</v>
      </c>
      <c r="F43" s="122"/>
      <c r="G43" s="742" t="s">
        <v>146</v>
      </c>
      <c r="H43" s="743"/>
      <c r="I43" s="743"/>
      <c r="J43" s="743"/>
      <c r="K43" s="743"/>
      <c r="L43" s="743"/>
      <c r="M43" s="744"/>
      <c r="N43" s="127"/>
      <c r="Q43" s="432"/>
      <c r="R43" s="434"/>
      <c r="S43" s="432"/>
      <c r="T43" s="432"/>
      <c r="U43" s="432"/>
      <c r="V43" s="439"/>
      <c r="AC43" s="680"/>
    </row>
    <row r="44" spans="1:29" ht="14.25" customHeight="1" thickBot="1" x14ac:dyDescent="0.25">
      <c r="A44" s="203"/>
      <c r="B44" s="204"/>
      <c r="C44" s="123"/>
      <c r="D44" s="124">
        <v>0.6</v>
      </c>
      <c r="E44" s="125">
        <f>C44*D44</f>
        <v>0</v>
      </c>
      <c r="F44" s="122"/>
      <c r="G44" s="745" t="s">
        <v>87</v>
      </c>
      <c r="H44" s="746"/>
      <c r="I44" s="291" t="s">
        <v>147</v>
      </c>
      <c r="J44" s="779" t="s">
        <v>148</v>
      </c>
      <c r="K44" s="780"/>
      <c r="L44" s="293" t="s">
        <v>101</v>
      </c>
      <c r="M44" s="675" t="s">
        <v>90</v>
      </c>
      <c r="N44" s="127"/>
      <c r="Q44" s="432"/>
      <c r="R44" s="434"/>
      <c r="S44" s="432"/>
      <c r="T44" s="432"/>
      <c r="U44" s="432"/>
      <c r="V44" s="439"/>
      <c r="AC44" s="681"/>
    </row>
    <row r="45" spans="1:29" ht="14.25" customHeight="1" x14ac:dyDescent="0.2">
      <c r="A45" s="203"/>
      <c r="B45" s="204"/>
      <c r="C45" s="123"/>
      <c r="D45" s="124">
        <v>0.6</v>
      </c>
      <c r="E45" s="125">
        <f>C45*D45</f>
        <v>0</v>
      </c>
      <c r="F45" s="122"/>
      <c r="G45" s="257" t="s">
        <v>149</v>
      </c>
      <c r="H45" s="258"/>
      <c r="I45" s="259">
        <f>'Detail Solutions'!A71</f>
        <v>0</v>
      </c>
      <c r="J45" s="781"/>
      <c r="K45" s="782"/>
      <c r="L45" s="255">
        <f>'Detail Solutions'!H71</f>
        <v>0</v>
      </c>
      <c r="M45" s="669" t="str">
        <f>IFERROR(ROUND(((L45/($L$51+$J$51))*$M$51)*20,0)/20,"")</f>
        <v/>
      </c>
      <c r="N45" s="127"/>
      <c r="Q45" s="432"/>
      <c r="R45" s="434"/>
      <c r="S45" s="432"/>
      <c r="T45" s="432"/>
      <c r="U45" s="432"/>
      <c r="V45" s="439"/>
      <c r="AC45" s="680"/>
    </row>
    <row r="46" spans="1:29" ht="14.25" customHeight="1" x14ac:dyDescent="0.2">
      <c r="A46" s="203"/>
      <c r="B46" s="204"/>
      <c r="C46" s="123"/>
      <c r="D46" s="632">
        <v>0.6</v>
      </c>
      <c r="E46" s="125">
        <f t="shared" si="1"/>
        <v>0</v>
      </c>
      <c r="F46" s="122"/>
      <c r="G46" s="354"/>
      <c r="H46" s="355"/>
      <c r="I46" s="356"/>
      <c r="J46" s="783"/>
      <c r="K46" s="784"/>
      <c r="L46" s="673">
        <f>I46*J46</f>
        <v>0</v>
      </c>
      <c r="M46" s="670" t="str">
        <f t="shared" ref="M46:M48" si="2">IFERROR(ROUND(((L46/($L$51+$J$51))*$M$51)*20,0)/20,"")</f>
        <v/>
      </c>
      <c r="N46" s="127"/>
      <c r="Q46" s="432"/>
      <c r="R46" s="433"/>
      <c r="S46" s="432"/>
      <c r="T46" s="432"/>
      <c r="U46" s="432"/>
      <c r="V46" s="439"/>
      <c r="AC46" s="681"/>
    </row>
    <row r="47" spans="1:29" ht="14.25" customHeight="1" x14ac:dyDescent="0.2">
      <c r="A47" s="410" t="s">
        <v>153</v>
      </c>
      <c r="B47" s="411">
        <f>A66</f>
        <v>0</v>
      </c>
      <c r="C47" s="222">
        <f>-((SUM(E27:E46)*B66)+(B67))/D47</f>
        <v>0</v>
      </c>
      <c r="D47" s="633">
        <f>D27</f>
        <v>0.6</v>
      </c>
      <c r="E47" s="283">
        <f t="shared" si="1"/>
        <v>0</v>
      </c>
      <c r="F47" s="122"/>
      <c r="G47" s="354"/>
      <c r="H47" s="355"/>
      <c r="I47" s="356"/>
      <c r="J47" s="785"/>
      <c r="K47" s="786"/>
      <c r="L47" s="673">
        <f>I47*J47</f>
        <v>0</v>
      </c>
      <c r="M47" s="670" t="str">
        <f t="shared" si="2"/>
        <v/>
      </c>
      <c r="N47" s="127"/>
      <c r="Q47" s="432"/>
      <c r="R47" s="433"/>
      <c r="S47" s="432"/>
      <c r="T47" s="432"/>
      <c r="U47" s="432"/>
      <c r="V47" s="439"/>
      <c r="AC47" s="680"/>
    </row>
    <row r="48" spans="1:29" ht="14.25" customHeight="1" thickBot="1" x14ac:dyDescent="0.25">
      <c r="A48" s="203"/>
      <c r="B48" s="204"/>
      <c r="C48" s="123"/>
      <c r="D48" s="455">
        <v>0.6</v>
      </c>
      <c r="E48" s="125">
        <f>C48*D48</f>
        <v>0</v>
      </c>
      <c r="F48" s="122"/>
      <c r="G48" s="677"/>
      <c r="H48" s="357"/>
      <c r="I48" s="352"/>
      <c r="J48" s="787"/>
      <c r="K48" s="788"/>
      <c r="L48" s="674">
        <f>I48*J48</f>
        <v>0</v>
      </c>
      <c r="M48" s="671" t="str">
        <f t="shared" si="2"/>
        <v/>
      </c>
      <c r="N48" s="127"/>
      <c r="Q48"/>
      <c r="R48" s="440"/>
      <c r="S48"/>
      <c r="T48"/>
      <c r="U48" s="439"/>
      <c r="V48" s="439"/>
      <c r="AC48" s="681"/>
    </row>
    <row r="49" spans="1:29" ht="14.25" customHeight="1" thickBot="1" x14ac:dyDescent="0.25">
      <c r="A49" s="203"/>
      <c r="B49" s="204"/>
      <c r="C49" s="123"/>
      <c r="D49" s="124">
        <v>0.6</v>
      </c>
      <c r="E49" s="125">
        <f t="shared" si="1"/>
        <v>0</v>
      </c>
      <c r="F49" s="122"/>
      <c r="G49" s="128" t="s">
        <v>101</v>
      </c>
      <c r="H49" s="134"/>
      <c r="I49" s="634">
        <f>L49-(SUM(K46:K48))</f>
        <v>0</v>
      </c>
      <c r="J49" s="690" t="s">
        <v>105</v>
      </c>
      <c r="K49" s="691"/>
      <c r="L49" s="282">
        <f>SUM(L45:L48)</f>
        <v>0</v>
      </c>
      <c r="M49" s="279"/>
      <c r="N49" s="127"/>
      <c r="Q49"/>
      <c r="R49" s="440"/>
      <c r="S49"/>
      <c r="T49"/>
      <c r="U49" s="439"/>
      <c r="V49" s="439"/>
      <c r="AC49" s="680"/>
    </row>
    <row r="50" spans="1:29" ht="14.25" customHeight="1" thickBot="1" x14ac:dyDescent="0.25">
      <c r="A50" s="203"/>
      <c r="B50" s="204"/>
      <c r="C50" s="123"/>
      <c r="D50" s="124">
        <v>0.6</v>
      </c>
      <c r="E50" s="125">
        <f t="shared" si="1"/>
        <v>0</v>
      </c>
      <c r="F50" s="122"/>
      <c r="G50" s="201"/>
      <c r="H50" s="201"/>
      <c r="I50" s="201"/>
      <c r="J50" s="692" t="s">
        <v>156</v>
      </c>
      <c r="K50" s="693"/>
      <c r="L50" s="135" t="s">
        <v>157</v>
      </c>
      <c r="M50" s="121" t="s">
        <v>90</v>
      </c>
      <c r="N50" s="127"/>
      <c r="Q50"/>
      <c r="R50" s="440"/>
      <c r="S50"/>
      <c r="T50"/>
      <c r="U50" s="439"/>
      <c r="V50" s="439"/>
      <c r="AC50" s="681"/>
    </row>
    <row r="51" spans="1:29" ht="14.25" customHeight="1" thickBot="1" x14ac:dyDescent="0.25">
      <c r="A51" s="241"/>
      <c r="B51" s="242"/>
      <c r="C51" s="243"/>
      <c r="D51" s="124">
        <v>0.6</v>
      </c>
      <c r="E51" s="125">
        <f t="shared" si="1"/>
        <v>0</v>
      </c>
      <c r="F51" s="122"/>
      <c r="G51" s="202"/>
      <c r="H51" s="202"/>
      <c r="I51" s="202"/>
      <c r="J51" s="694"/>
      <c r="K51" s="691"/>
      <c r="L51" s="68">
        <f>L49-J51</f>
        <v>0</v>
      </c>
      <c r="M51" s="59">
        <f>ROUND(IF($I$16=2,L51/$J$16,IF($I$16=5,L51/$J$16,0))*20,0)/20</f>
        <v>0</v>
      </c>
      <c r="Q51"/>
      <c r="R51" s="440"/>
      <c r="S51"/>
      <c r="T51"/>
      <c r="U51" s="439"/>
      <c r="V51" s="439"/>
      <c r="AC51" s="680"/>
    </row>
    <row r="52" spans="1:29" ht="14.25" customHeight="1" x14ac:dyDescent="0.2">
      <c r="A52" s="205"/>
      <c r="B52" s="206"/>
      <c r="C52" s="123"/>
      <c r="D52" s="124">
        <v>0.6</v>
      </c>
      <c r="E52" s="125">
        <f t="shared" si="1"/>
        <v>0</v>
      </c>
      <c r="F52" s="141"/>
      <c r="K52" s="295">
        <f>IF(J51=0,L51*-1,0)</f>
        <v>0</v>
      </c>
      <c r="N52" s="144"/>
      <c r="Q52"/>
      <c r="R52" s="440"/>
      <c r="S52"/>
      <c r="T52"/>
      <c r="U52" s="439"/>
      <c r="V52" s="439"/>
    </row>
    <row r="53" spans="1:29" ht="14.25" customHeight="1" thickBot="1" x14ac:dyDescent="0.25">
      <c r="A53" s="136" t="s">
        <v>101</v>
      </c>
      <c r="B53" s="137"/>
      <c r="C53" s="138">
        <f>SUM(C47:C52,C27:C46)</f>
        <v>2000</v>
      </c>
      <c r="D53" s="139"/>
      <c r="E53" s="140">
        <f>SUM(E27:E52)</f>
        <v>1200</v>
      </c>
      <c r="F53" s="141"/>
      <c r="N53" s="144"/>
      <c r="O53" s="133"/>
      <c r="P53" s="133"/>
      <c r="Q53"/>
      <c r="R53" s="440"/>
      <c r="S53"/>
      <c r="T53"/>
      <c r="U53" s="439"/>
      <c r="V53" s="439"/>
    </row>
    <row r="54" spans="1:29" ht="14.25" customHeight="1" thickBot="1" x14ac:dyDescent="0.25">
      <c r="A54" s="260" t="s">
        <v>158</v>
      </c>
      <c r="B54" s="597">
        <f>IFERROR(C54/(C54+E53),"")</f>
        <v>0.4</v>
      </c>
      <c r="C54" s="463">
        <f>E54-E53</f>
        <v>800</v>
      </c>
      <c r="D54" s="130" t="s">
        <v>105</v>
      </c>
      <c r="E54" s="131">
        <f>C53-(C53*E21)</f>
        <v>2000</v>
      </c>
      <c r="F54" s="141"/>
      <c r="N54" s="144"/>
      <c r="O54" s="133"/>
      <c r="P54" s="133"/>
      <c r="Q54"/>
      <c r="R54" s="440"/>
      <c r="S54"/>
      <c r="T54"/>
      <c r="U54" s="439"/>
      <c r="V54" s="439"/>
    </row>
    <row r="55" spans="1:29" ht="14.25" customHeight="1" thickBot="1" x14ac:dyDescent="0.25">
      <c r="A55" s="459" t="s">
        <v>159</v>
      </c>
      <c r="B55" s="598">
        <f>IFERROR(C55/(C55+E53),"")</f>
        <v>0.34545454545454551</v>
      </c>
      <c r="C55" s="599">
        <f>(E54-(E53*D55))</f>
        <v>633.33333333333348</v>
      </c>
      <c r="D55" s="461">
        <f>1/1.08*1.23</f>
        <v>1.1388888888888888</v>
      </c>
      <c r="E55" s="142"/>
      <c r="F55" s="141"/>
      <c r="N55" s="144"/>
      <c r="Q55"/>
      <c r="R55" s="440"/>
      <c r="S55"/>
      <c r="T55"/>
      <c r="U55" s="439"/>
      <c r="V55" s="439"/>
      <c r="W55"/>
      <c r="X55"/>
      <c r="Y55"/>
      <c r="Z55"/>
    </row>
    <row r="56" spans="1:29" ht="14.25" customHeight="1" thickBot="1" x14ac:dyDescent="0.25">
      <c r="C56" s="142"/>
      <c r="D56" s="143"/>
      <c r="E56" s="261" t="s">
        <v>160</v>
      </c>
      <c r="F56" s="262"/>
      <c r="G56" s="263"/>
      <c r="H56" s="148">
        <v>1</v>
      </c>
      <c r="I56" s="127"/>
      <c r="J56" s="773" t="s">
        <v>161</v>
      </c>
      <c r="K56" s="774"/>
      <c r="L56" s="775"/>
      <c r="M56" s="776"/>
      <c r="N56" s="144"/>
      <c r="Q56"/>
      <c r="R56" s="440"/>
      <c r="S56"/>
      <c r="T56"/>
      <c r="U56" s="439"/>
      <c r="V56" s="439"/>
      <c r="W56"/>
      <c r="X56" s="438"/>
      <c r="Y56"/>
      <c r="Z56"/>
      <c r="AA56" s="133"/>
    </row>
    <row r="57" spans="1:29" ht="14.25" customHeight="1" x14ac:dyDescent="0.2">
      <c r="A57" s="145" t="s">
        <v>162</v>
      </c>
      <c r="B57" s="146"/>
      <c r="C57" s="147">
        <f>E53+K31+K38+K52</f>
        <v>1200</v>
      </c>
      <c r="D57" s="142"/>
      <c r="E57" s="264" t="s">
        <v>163</v>
      </c>
      <c r="F57" s="265"/>
      <c r="G57" s="266"/>
      <c r="H57" s="153">
        <v>0</v>
      </c>
      <c r="I57" s="127"/>
      <c r="J57" s="586" t="s">
        <v>164</v>
      </c>
      <c r="K57" s="587"/>
      <c r="L57" s="587"/>
      <c r="M57" s="588"/>
      <c r="N57" s="144"/>
      <c r="Q57"/>
      <c r="R57" s="440"/>
      <c r="S57"/>
      <c r="T57"/>
      <c r="U57" s="439"/>
      <c r="AA57" s="133"/>
    </row>
    <row r="58" spans="1:29" s="133" customFormat="1" ht="14.25" customHeight="1" thickBot="1" x14ac:dyDescent="0.2">
      <c r="A58" s="149" t="s">
        <v>165</v>
      </c>
      <c r="B58" s="150">
        <f>IFERROR(1-(C57/C59),"")</f>
        <v>0.4</v>
      </c>
      <c r="C58" s="151">
        <f>C54+I32+I39+I49</f>
        <v>800</v>
      </c>
      <c r="D58" s="152"/>
      <c r="E58" s="273" t="s">
        <v>166</v>
      </c>
      <c r="F58" s="274"/>
      <c r="G58" s="275"/>
      <c r="H58" s="220">
        <f>H56*H57</f>
        <v>0</v>
      </c>
      <c r="I58" s="87"/>
      <c r="J58" s="630" t="s">
        <v>30</v>
      </c>
      <c r="K58" s="608"/>
      <c r="L58" s="589"/>
      <c r="M58" s="159">
        <v>0</v>
      </c>
      <c r="N58" s="91"/>
      <c r="O58" s="87"/>
      <c r="P58" s="87"/>
      <c r="Q58" s="87"/>
      <c r="R58" s="87"/>
      <c r="S58" s="87"/>
      <c r="T58" s="87"/>
      <c r="U58" s="87"/>
      <c r="AA58" s="87"/>
      <c r="AC58" s="87"/>
    </row>
    <row r="59" spans="1:29" s="133" customFormat="1" ht="14.25" customHeight="1" thickBot="1" x14ac:dyDescent="0.2">
      <c r="A59" s="156" t="s">
        <v>105</v>
      </c>
      <c r="B59" s="157"/>
      <c r="C59" s="158">
        <f>C58+C57</f>
        <v>2000</v>
      </c>
      <c r="D59" s="91"/>
      <c r="E59" s="276" t="s">
        <v>35</v>
      </c>
      <c r="F59" s="277"/>
      <c r="G59" s="278"/>
      <c r="H59" s="162">
        <v>0</v>
      </c>
      <c r="I59" s="87"/>
      <c r="J59" s="154" t="s">
        <v>167</v>
      </c>
      <c r="K59" s="609"/>
      <c r="L59" s="155"/>
      <c r="M59" s="159">
        <v>0</v>
      </c>
      <c r="N59" s="91"/>
      <c r="O59" s="87"/>
      <c r="P59" s="87"/>
      <c r="Q59" s="87"/>
      <c r="R59" s="87"/>
      <c r="S59" s="87"/>
      <c r="T59" s="87"/>
      <c r="AA59" s="87"/>
    </row>
    <row r="60" spans="1:29" ht="14.25" customHeight="1" thickBot="1" x14ac:dyDescent="0.2">
      <c r="A60" s="154" t="s">
        <v>168</v>
      </c>
      <c r="B60" s="160"/>
      <c r="C60" s="161">
        <f>IF(L23=TRUE,M21,0)</f>
        <v>0</v>
      </c>
      <c r="D60" s="91"/>
      <c r="E60" s="200"/>
      <c r="F60" s="200"/>
      <c r="G60" s="200"/>
      <c r="H60" s="166"/>
      <c r="J60" s="154" t="s">
        <v>169</v>
      </c>
      <c r="K60" s="609"/>
      <c r="L60" s="155"/>
      <c r="M60" s="159">
        <v>0</v>
      </c>
      <c r="N60" s="91"/>
      <c r="U60" s="133"/>
      <c r="AC60" s="133"/>
    </row>
    <row r="61" spans="1:29" ht="14.25" customHeight="1" thickBot="1" x14ac:dyDescent="0.2">
      <c r="A61" s="163" t="s">
        <v>170</v>
      </c>
      <c r="B61" s="164"/>
      <c r="C61" s="165">
        <f>SUM(B73+B75+B77+B79+B81+B84+B87+B90+B93+L51)</f>
        <v>0</v>
      </c>
      <c r="D61" s="144"/>
      <c r="E61" s="261" t="s">
        <v>171</v>
      </c>
      <c r="F61" s="262"/>
      <c r="G61" s="263"/>
      <c r="H61" s="148">
        <v>0</v>
      </c>
      <c r="J61" s="154" t="s">
        <v>172</v>
      </c>
      <c r="K61" s="610"/>
      <c r="L61" s="214"/>
      <c r="M61" s="215">
        <v>0</v>
      </c>
      <c r="N61" s="166"/>
    </row>
    <row r="62" spans="1:29" ht="14.25" customHeight="1" thickBot="1" x14ac:dyDescent="0.2">
      <c r="A62" s="167" t="s">
        <v>173</v>
      </c>
      <c r="B62" s="168"/>
      <c r="C62" s="169">
        <f>SUM(C59+C60+C61)</f>
        <v>2000</v>
      </c>
      <c r="D62" s="91"/>
      <c r="E62" s="270" t="s">
        <v>174</v>
      </c>
      <c r="F62" s="271"/>
      <c r="G62" s="272"/>
      <c r="H62" s="153">
        <v>0</v>
      </c>
      <c r="J62" s="213" t="s">
        <v>175</v>
      </c>
      <c r="K62" s="610"/>
      <c r="L62" s="214"/>
      <c r="M62" s="215">
        <v>0</v>
      </c>
      <c r="O62" s="91"/>
    </row>
    <row r="63" spans="1:29" ht="15" customHeight="1" thickBot="1" x14ac:dyDescent="0.2">
      <c r="A63" s="170" t="s">
        <v>176</v>
      </c>
      <c r="B63" s="171">
        <f>IFERROR(C58/C57,"")</f>
        <v>0.66666666666666663</v>
      </c>
      <c r="C63" s="133"/>
      <c r="D63" s="172"/>
      <c r="E63" s="273" t="s">
        <v>177</v>
      </c>
      <c r="F63" s="274"/>
      <c r="G63" s="275"/>
      <c r="H63" s="221">
        <f>H61*H62</f>
        <v>0</v>
      </c>
      <c r="J63" s="733" t="s">
        <v>178</v>
      </c>
      <c r="K63" s="734"/>
      <c r="L63" s="734"/>
      <c r="M63" s="735"/>
      <c r="N63" s="91"/>
    </row>
    <row r="64" spans="1:29" ht="14.25" customHeight="1" thickBot="1" x14ac:dyDescent="0.2">
      <c r="A64" s="173" t="s">
        <v>179</v>
      </c>
      <c r="B64" s="174">
        <f>IFERROR(1-(E54/C53),"")</f>
        <v>0</v>
      </c>
      <c r="C64" s="133"/>
      <c r="D64" s="91"/>
      <c r="E64" s="267" t="s">
        <v>1</v>
      </c>
      <c r="F64" s="268"/>
      <c r="G64" s="269"/>
      <c r="H64" s="162">
        <v>0</v>
      </c>
      <c r="I64" s="133"/>
      <c r="J64" s="584" t="s">
        <v>21</v>
      </c>
      <c r="K64" s="611"/>
      <c r="L64" s="585"/>
      <c r="M64" s="159">
        <v>0</v>
      </c>
      <c r="N64" s="91"/>
    </row>
    <row r="65" spans="1:30" ht="15" customHeight="1" thickBot="1" x14ac:dyDescent="0.2">
      <c r="A65" s="173" t="s">
        <v>180</v>
      </c>
      <c r="B65" s="174" t="str">
        <f>IFERROR(1-((L32+L39)/(I31+I38)),"")</f>
        <v/>
      </c>
      <c r="C65" s="133"/>
      <c r="D65" s="91"/>
      <c r="I65" s="133"/>
      <c r="J65" s="424"/>
      <c r="K65" s="612"/>
      <c r="L65" s="425"/>
      <c r="M65" s="159">
        <v>0</v>
      </c>
    </row>
    <row r="66" spans="1:30" ht="14.25" customHeight="1" x14ac:dyDescent="0.15">
      <c r="A66" s="738"/>
      <c r="B66" s="380">
        <v>0</v>
      </c>
      <c r="C66" s="142"/>
      <c r="D66" s="144"/>
      <c r="E66" s="261" t="s">
        <v>181</v>
      </c>
      <c r="F66" s="262"/>
      <c r="G66" s="263"/>
      <c r="H66" s="148">
        <v>0</v>
      </c>
      <c r="J66" s="424"/>
      <c r="K66" s="612"/>
      <c r="L66" s="425"/>
      <c r="M66" s="159">
        <v>0</v>
      </c>
    </row>
    <row r="67" spans="1:30" ht="14.25" customHeight="1" thickBot="1" x14ac:dyDescent="0.2">
      <c r="A67" s="739"/>
      <c r="B67" s="381">
        <v>0</v>
      </c>
      <c r="C67" s="142"/>
      <c r="D67" s="142"/>
      <c r="E67" s="418" t="s">
        <v>182</v>
      </c>
      <c r="F67" s="419"/>
      <c r="G67" s="420"/>
      <c r="H67" s="153">
        <v>0</v>
      </c>
      <c r="I67" s="127"/>
      <c r="J67" s="426"/>
      <c r="K67" s="613"/>
      <c r="L67" s="427"/>
      <c r="M67" s="216">
        <v>0</v>
      </c>
      <c r="N67" s="91"/>
    </row>
    <row r="68" spans="1:30" ht="14.1" customHeight="1" thickBot="1" x14ac:dyDescent="0.2">
      <c r="B68" s="175"/>
      <c r="C68" s="91"/>
      <c r="D68" s="102"/>
      <c r="E68" s="273" t="s">
        <v>183</v>
      </c>
      <c r="F68" s="274"/>
      <c r="G68" s="275"/>
      <c r="H68" s="220">
        <f>H66*H67</f>
        <v>0</v>
      </c>
      <c r="I68" s="127"/>
      <c r="J68" s="426"/>
      <c r="K68" s="613"/>
      <c r="L68" s="427"/>
      <c r="M68" s="216">
        <v>0</v>
      </c>
    </row>
    <row r="69" spans="1:30" ht="14.1" customHeight="1" thickBot="1" x14ac:dyDescent="0.2">
      <c r="B69" s="175"/>
      <c r="C69" s="91"/>
      <c r="D69" s="102"/>
      <c r="E69" s="421" t="s">
        <v>49</v>
      </c>
      <c r="F69" s="422"/>
      <c r="G69" s="423"/>
      <c r="H69" s="162">
        <v>0</v>
      </c>
      <c r="I69" s="127"/>
      <c r="J69" s="426"/>
      <c r="K69" s="613"/>
      <c r="L69" s="427"/>
      <c r="M69" s="216">
        <v>0</v>
      </c>
    </row>
    <row r="70" spans="1:30" ht="14.1" customHeight="1" thickBot="1" x14ac:dyDescent="0.2">
      <c r="B70" s="175"/>
      <c r="C70" s="91"/>
      <c r="D70" s="102"/>
      <c r="I70" s="127"/>
      <c r="J70" s="217" t="s">
        <v>184</v>
      </c>
      <c r="K70" s="614"/>
      <c r="L70" s="218"/>
      <c r="M70" s="219">
        <f>SUM(M58:M69)</f>
        <v>0</v>
      </c>
    </row>
    <row r="71" spans="1:30" ht="14.25" customHeight="1" thickBot="1" x14ac:dyDescent="0.2">
      <c r="A71" s="176" t="s">
        <v>156</v>
      </c>
      <c r="B71" s="177" t="s">
        <v>157</v>
      </c>
      <c r="C71" s="178" t="s">
        <v>101</v>
      </c>
      <c r="D71" s="179" t="s">
        <v>90</v>
      </c>
      <c r="F71" s="736" t="s">
        <v>185</v>
      </c>
      <c r="G71" s="737"/>
      <c r="H71" s="415" t="s">
        <v>14</v>
      </c>
      <c r="I71" s="127"/>
      <c r="AA71" s="102"/>
    </row>
    <row r="72" spans="1:30" ht="14.25" customHeight="1" thickBot="1" x14ac:dyDescent="0.2">
      <c r="A72" s="56" t="s">
        <v>186</v>
      </c>
      <c r="B72" s="57"/>
      <c r="C72" s="57"/>
      <c r="D72" s="58"/>
      <c r="F72" s="94"/>
      <c r="G72" s="94"/>
      <c r="H72" s="102"/>
      <c r="I72" s="127"/>
      <c r="J72" s="727" t="s">
        <v>187</v>
      </c>
      <c r="K72" s="728"/>
      <c r="L72" s="729"/>
      <c r="M72" s="244">
        <f>IF(C14=FALSE,IF(G15=1,(L49+L32+L39+((SUM(M64:M69)*J16))),J51+((SUM(M64:M69)*J16))),0)</f>
        <v>0</v>
      </c>
      <c r="N72" s="91"/>
    </row>
    <row r="73" spans="1:30" ht="14.25" customHeight="1" thickBot="1" x14ac:dyDescent="0.2">
      <c r="A73" s="46">
        <v>0</v>
      </c>
      <c r="B73" s="45"/>
      <c r="C73" s="47">
        <f>A73+B73</f>
        <v>0</v>
      </c>
      <c r="D73" s="48">
        <f>ROUND(IF($I$16=2,B73/$J$16,IF($I$16=5,B73/$J$16,0))*20,0)/20</f>
        <v>0</v>
      </c>
      <c r="F73" s="416" t="s">
        <v>188</v>
      </c>
      <c r="G73" s="417"/>
      <c r="H73" s="415" t="s">
        <v>16</v>
      </c>
      <c r="I73" s="127"/>
      <c r="J73" s="94"/>
      <c r="K73" s="94"/>
      <c r="L73" s="94"/>
      <c r="V73" s="102"/>
      <c r="W73" s="102"/>
      <c r="X73" s="102"/>
      <c r="Y73" s="102"/>
      <c r="Z73" s="102"/>
      <c r="AB73" s="102"/>
      <c r="AD73" s="102"/>
    </row>
    <row r="74" spans="1:30" ht="14.25" customHeight="1" thickBot="1" x14ac:dyDescent="0.2">
      <c r="A74" s="53" t="s">
        <v>189</v>
      </c>
      <c r="B74" s="54"/>
      <c r="C74" s="54"/>
      <c r="D74" s="55"/>
      <c r="F74" s="94"/>
      <c r="G74" s="94"/>
      <c r="H74" s="102"/>
      <c r="I74" s="166"/>
      <c r="J74" s="727" t="s">
        <v>190</v>
      </c>
      <c r="K74" s="728"/>
      <c r="L74" s="729"/>
      <c r="M74" s="245">
        <f>A73+A75+A77+A79+A81+A84+A87+A90+A93</f>
        <v>0</v>
      </c>
      <c r="R74" s="102"/>
      <c r="S74" s="102"/>
      <c r="T74" s="102"/>
      <c r="U74" s="102"/>
      <c r="AC74" s="102"/>
    </row>
    <row r="75" spans="1:30" ht="14.25" customHeight="1" thickBot="1" x14ac:dyDescent="0.2">
      <c r="A75" s="46"/>
      <c r="B75" s="45"/>
      <c r="C75" s="47">
        <f>A75+B75</f>
        <v>0</v>
      </c>
      <c r="D75" s="48">
        <f>ROUND(IF($I$16=2,B75/$J$16,IF($I$16=5,B75/$J$16,0))*20,0)/20</f>
        <v>0</v>
      </c>
      <c r="F75" s="416" t="s">
        <v>191</v>
      </c>
      <c r="G75" s="417"/>
      <c r="H75" s="415" t="s">
        <v>16</v>
      </c>
      <c r="I75" s="166"/>
    </row>
    <row r="76" spans="1:30" ht="14.25" customHeight="1" thickBot="1" x14ac:dyDescent="0.2">
      <c r="A76" s="53" t="s">
        <v>192</v>
      </c>
      <c r="B76" s="54"/>
      <c r="C76" s="54"/>
      <c r="D76" s="55"/>
      <c r="F76" s="94"/>
      <c r="G76" s="94"/>
      <c r="H76" s="102"/>
      <c r="I76" s="166"/>
      <c r="J76" s="590" t="s">
        <v>193</v>
      </c>
      <c r="K76" s="683" t="s">
        <v>382</v>
      </c>
      <c r="L76" s="684"/>
      <c r="M76" s="590" t="s">
        <v>194</v>
      </c>
    </row>
    <row r="77" spans="1:30" ht="14.25" customHeight="1" thickBot="1" x14ac:dyDescent="0.2">
      <c r="A77" s="46"/>
      <c r="B77" s="45"/>
      <c r="C77" s="47">
        <f>A77+B77</f>
        <v>0</v>
      </c>
      <c r="D77" s="48">
        <f>ROUND(IF($I$16=2,B77/$J$16,IF($I$16=5,B77/$J$16,0))*20,0)/20</f>
        <v>0</v>
      </c>
      <c r="F77" s="416" t="s">
        <v>195</v>
      </c>
      <c r="G77" s="417"/>
      <c r="H77" s="415" t="s">
        <v>16</v>
      </c>
      <c r="J77" s="591"/>
      <c r="K77" s="685"/>
      <c r="L77" s="686"/>
      <c r="M77" s="591"/>
    </row>
    <row r="78" spans="1:30" s="102" customFormat="1" ht="14.25" customHeight="1" thickBot="1" x14ac:dyDescent="0.2">
      <c r="A78" s="53" t="s">
        <v>196</v>
      </c>
      <c r="B78" s="54"/>
      <c r="C78" s="54"/>
      <c r="D78" s="55"/>
      <c r="E78" s="87"/>
      <c r="F78" s="94"/>
      <c r="G78" s="94"/>
      <c r="I78" s="87"/>
      <c r="J78" s="725">
        <f>IF(C14=FALSE,(J51+L32+L39+((SUM(M64:M69)*J16))),0)</f>
        <v>0</v>
      </c>
      <c r="K78" s="687">
        <f>C58</f>
        <v>800</v>
      </c>
      <c r="L78" s="686"/>
      <c r="M78" s="725">
        <f>IF(C14=FALSE,((C62)+(SUM(M64:M69)*J16)),0)</f>
        <v>2000</v>
      </c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</row>
    <row r="79" spans="1:30" ht="14.25" customHeight="1" thickBot="1" x14ac:dyDescent="0.2">
      <c r="A79" s="46">
        <v>0</v>
      </c>
      <c r="B79" s="45">
        <v>0</v>
      </c>
      <c r="C79" s="47">
        <f>A79+B79</f>
        <v>0</v>
      </c>
      <c r="D79" s="48">
        <f>ROUND(IF($I$16=2,B79/$J$16,IF($I$16=5,B79/$J$16,0))*20,0)/20</f>
        <v>0</v>
      </c>
      <c r="F79" s="416" t="s">
        <v>197</v>
      </c>
      <c r="G79" s="417"/>
      <c r="H79" s="415" t="s">
        <v>6</v>
      </c>
      <c r="J79" s="726"/>
      <c r="K79" s="688"/>
      <c r="L79" s="689"/>
      <c r="M79" s="726"/>
      <c r="Q79" s="102"/>
    </row>
    <row r="80" spans="1:30" ht="14.25" customHeight="1" x14ac:dyDescent="0.15">
      <c r="A80" s="53" t="s">
        <v>198</v>
      </c>
      <c r="B80" s="54"/>
      <c r="C80" s="54"/>
      <c r="D80" s="55"/>
      <c r="G80" s="180"/>
      <c r="H80" s="180"/>
    </row>
    <row r="81" spans="1:15" ht="14.25" customHeight="1" thickBot="1" x14ac:dyDescent="0.2">
      <c r="A81" s="46">
        <v>0</v>
      </c>
      <c r="B81" s="45"/>
      <c r="C81" s="47">
        <f>A81+B81</f>
        <v>0</v>
      </c>
      <c r="D81" s="48">
        <f>ROUND(IF($I$16=2,B81/$J$16,IF($I$16=5,B81/$J$16,0))*20,0)/20</f>
        <v>0</v>
      </c>
      <c r="G81" s="180"/>
      <c r="H81" s="180"/>
    </row>
    <row r="82" spans="1:15" ht="14.25" customHeight="1" thickBot="1" x14ac:dyDescent="0.2">
      <c r="A82" s="372"/>
      <c r="B82" s="371"/>
      <c r="C82" s="370"/>
      <c r="D82" s="370"/>
      <c r="F82" s="144"/>
      <c r="J82" s="181"/>
      <c r="K82" s="181"/>
      <c r="L82" s="181"/>
      <c r="M82" s="181"/>
    </row>
    <row r="83" spans="1:15" ht="14.25" customHeight="1" x14ac:dyDescent="0.15">
      <c r="A83" s="730"/>
      <c r="B83" s="731"/>
      <c r="C83" s="731"/>
      <c r="D83" s="732"/>
      <c r="E83" s="102"/>
      <c r="F83" s="102"/>
      <c r="G83" s="182"/>
      <c r="H83" s="285">
        <f>IF(I16=1,0.025,IF(I16=2,L83,IF(I16=3,L84,IF(I16=4,H16,IF(I16=5,G16)))))</f>
        <v>2.2579054641689984E-2</v>
      </c>
      <c r="I83" s="49" t="s">
        <v>199</v>
      </c>
      <c r="J83" s="183"/>
      <c r="K83" s="183"/>
      <c r="L83" s="289">
        <f>IF(I16=5,G16,IF(B17=TRUE,IF(J16=60,'Miete Graphax'!H14,IF(J16=48,'Miete Graphax'!G14,IF(J16=36,'Miete Graphax'!F14,IF(J16=24,'Miete Graphax'!E14,IF(J16=72,'Miete Graphax'!D14,IF(J16=12,'Miete Graphax'!C14," ")))))),IF(I16=2,IF(J16=60,'Miete Graphax'!H15,IF(J16=48,'Miete Graphax'!G15,IF(J16=36,'Miete Graphax'!F15,IF(J16=24,'Miete Graphax'!E15,IF(J16=72,'Miete Graphax'!D15,IF(J16=12,'Miete Graphax'!C15," "))))))," ")))</f>
        <v>2.2579054641689984E-2</v>
      </c>
      <c r="M83" s="184" t="b">
        <v>0</v>
      </c>
    </row>
    <row r="84" spans="1:15" ht="14.25" customHeight="1" thickBot="1" x14ac:dyDescent="0.2">
      <c r="A84" s="46">
        <v>0</v>
      </c>
      <c r="B84" s="45"/>
      <c r="C84" s="47">
        <f>A84+B84</f>
        <v>0</v>
      </c>
      <c r="D84" s="48">
        <f>ROUND(IF($I$16=2,B84/$J$16,IF($I$16=5,B84/$J$16,0))*20,0)/20</f>
        <v>0</v>
      </c>
      <c r="F84" s="102"/>
      <c r="G84" s="185"/>
      <c r="H84" s="186"/>
      <c r="I84" s="187" t="str">
        <f>IF(AND(I16=3,C62&gt;=2000,ISNUMBER(MATCH(J16,'GE-Leasing'!$C$8:$F$8,0))),INDEX('GE-Leasing'!$C$9:$F$14,MATCH(C62,{2000,10000,20000,30000,50000,100000},1),MATCH(J16,'GE-Leasing'!$C$8:$F$8,0))," ")</f>
        <v xml:space="preserve"> </v>
      </c>
      <c r="J84" s="187" t="str">
        <f>IF(AND(I16=3,C62&gt;=2000,ISNUMBER(MATCH(J16,'GE-Leasing'!$C$8:$F$8,0))),INDEX('GE-Leasing'!$C$18:$F$23,MATCH(C62,{2000,10000,20000,30000,50000,100000},1),MATCH(J16,'GE-Leasing'!$C$8:$F$8,0))," ")</f>
        <v xml:space="preserve"> </v>
      </c>
      <c r="K84" s="187"/>
      <c r="L84" s="188" t="str">
        <f>IF(I16=4,H16,IF(I15=INDEX(lstFaktLeasing,2),I84,J84))</f>
        <v xml:space="preserve"> </v>
      </c>
      <c r="M84" s="61"/>
    </row>
    <row r="85" spans="1:15" ht="14.25" customHeight="1" thickBot="1" x14ac:dyDescent="0.2">
      <c r="A85" s="372"/>
      <c r="B85" s="371"/>
      <c r="C85" s="370"/>
      <c r="D85" s="370"/>
      <c r="G85" s="60"/>
      <c r="H85" s="297" t="s">
        <v>200</v>
      </c>
      <c r="I85" s="298" t="s">
        <v>201</v>
      </c>
      <c r="J85" s="298" t="s">
        <v>202</v>
      </c>
      <c r="K85" s="615"/>
      <c r="L85" s="299" t="s">
        <v>203</v>
      </c>
      <c r="M85" s="61"/>
      <c r="N85" s="313"/>
    </row>
    <row r="86" spans="1:15" ht="14.25" customHeight="1" thickBot="1" x14ac:dyDescent="0.2">
      <c r="A86" s="730"/>
      <c r="B86" s="731"/>
      <c r="C86" s="731"/>
      <c r="D86" s="732"/>
      <c r="G86" s="60"/>
      <c r="H86" s="300">
        <f>ROUND(IF($I$16=2,C60/$J$16,IF($I$16=5,C60/$J$16,0))*20,0)/20</f>
        <v>0</v>
      </c>
      <c r="I86" s="301">
        <f>ROUND(IF($I$16=2,SUM(D73:D93),IF($I$16=5,SUM(D73:D93),0))*20,0)/20</f>
        <v>0</v>
      </c>
      <c r="J86" s="301">
        <f>ROUND(IF(AND(C14=TRUE,J16=12),IF($I$16=2,E54/$H$14,IF($I$16=5,E54/$H$14,0)),IF($I$16=2,E54/$H$14,IF($I$16=5,E54/$H$14,0)))*20,0)/20</f>
        <v>41.65</v>
      </c>
      <c r="K86" s="616"/>
      <c r="L86" s="302">
        <f>ROUND(IF($I$16=2,(L92+L93-SUM(M64:M69))-(H86+I86+J86+H88+I88+J88+H90+I90+J90),IF($I$16=5,(L92+L93-SUM(M64:M69))-(H86+I86+J86+H88+I88+J88+H90+I90+J90),0))*20,0)/20</f>
        <v>3.5</v>
      </c>
      <c r="M86" s="61"/>
      <c r="N86" s="314"/>
    </row>
    <row r="87" spans="1:15" ht="14.25" customHeight="1" thickBot="1" x14ac:dyDescent="0.2">
      <c r="A87" s="46">
        <v>0</v>
      </c>
      <c r="B87" s="45">
        <v>0</v>
      </c>
      <c r="C87" s="47">
        <f>A87+B87</f>
        <v>0</v>
      </c>
      <c r="D87" s="48">
        <f>ROUND(IF($I$16=2,B87/$J$16,IF($I$16=5,B87/$J$16,0))*20,0)/20</f>
        <v>0</v>
      </c>
      <c r="G87" s="60"/>
      <c r="H87" s="303" t="s">
        <v>204</v>
      </c>
      <c r="I87" s="304" t="s">
        <v>205</v>
      </c>
      <c r="J87" s="304" t="s">
        <v>206</v>
      </c>
      <c r="K87" s="617"/>
      <c r="L87" s="299" t="s">
        <v>207</v>
      </c>
      <c r="M87" s="61" t="s">
        <v>208</v>
      </c>
      <c r="N87" s="315"/>
    </row>
    <row r="88" spans="1:15" ht="14.25" customHeight="1" thickBot="1" x14ac:dyDescent="0.2">
      <c r="A88" s="372"/>
      <c r="B88" s="371"/>
      <c r="C88" s="370"/>
      <c r="D88" s="370"/>
      <c r="G88" s="60"/>
      <c r="H88" s="305">
        <f>ROUND(IF($I$16=2,L32/$J$16,IF($I$16=5,L32/$J$16,0))*20,0)/20</f>
        <v>0</v>
      </c>
      <c r="I88" s="306">
        <f>ROUND(IF($I$16=1,L41/$J$16,L39/$J$16)*20,0)/20</f>
        <v>0</v>
      </c>
      <c r="J88" s="306">
        <f>ROUND(IF($I$16=2,L51/$J$16,IF($I$16=5,L51/$J$16,0))*20,0)/20</f>
        <v>0</v>
      </c>
      <c r="K88" s="618"/>
      <c r="L88" s="302">
        <f>SUM(H90:J90)</f>
        <v>0</v>
      </c>
      <c r="M88" s="61">
        <f>SUM(H87:L88)</f>
        <v>0</v>
      </c>
      <c r="N88" s="314"/>
    </row>
    <row r="89" spans="1:15" ht="14.25" customHeight="1" x14ac:dyDescent="0.15">
      <c r="A89" s="730"/>
      <c r="B89" s="731"/>
      <c r="C89" s="731"/>
      <c r="D89" s="732"/>
      <c r="G89" s="60"/>
      <c r="H89" s="318" t="s">
        <v>209</v>
      </c>
      <c r="I89" s="318" t="s">
        <v>210</v>
      </c>
      <c r="J89" s="318" t="s">
        <v>211</v>
      </c>
      <c r="K89" s="318"/>
      <c r="L89" s="319">
        <f>IF(I16=1,IF(J16=60,'Miete Graphax'!H15,IF(J16=48,'Miete Graphax'!G15,IF(J16=36,'Miete Graphax'!F15,IF(J16=24,'Miete Graphax'!E15,IF(J16=72,'Miete Graphax'!D15,IF(J16=12,'Miete Graphax'!C15," ")))))),IF(I16=2,L83,IF(I16=3,L84,IF(I16=4,L84,IF(I16=5,L83," ")))))</f>
        <v>2.2579054641689984E-2</v>
      </c>
      <c r="M89" s="61"/>
      <c r="N89" s="315"/>
    </row>
    <row r="90" spans="1:15" ht="14.25" customHeight="1" thickBot="1" x14ac:dyDescent="0.2">
      <c r="A90" s="46">
        <v>0</v>
      </c>
      <c r="B90" s="45">
        <v>0</v>
      </c>
      <c r="C90" s="47">
        <f>A90+B90</f>
        <v>0</v>
      </c>
      <c r="D90" s="48">
        <f>ROUND(IF($I$16=2,B90/$J$16,IF($I$16=5,B90/$J$16,0))*20,0)/20</f>
        <v>0</v>
      </c>
      <c r="G90" s="60"/>
      <c r="H90" s="320">
        <f>ROUND(IF($I$16=2,((L32*L89)-(L32/$J$16)),IF($I$16=5,((L32*L89)-(L32/$J$16)),0))*20,0)/20</f>
        <v>0</v>
      </c>
      <c r="I90" s="320">
        <f>ROUND(IF($I$16=1,(L41*L89)-(L41/$J$16),(L39*L89)-(L39/$J$16))*20,0)/20</f>
        <v>0</v>
      </c>
      <c r="J90" s="320">
        <f>ROUND(IF($I$16=2,((L51*L89)-(L51/$J$16)),IF($I$16=5,((L51*L89)-(L51/$J$16)),0))*20,0)/20</f>
        <v>0</v>
      </c>
      <c r="K90" s="320"/>
      <c r="L90" s="296"/>
      <c r="M90" s="61"/>
      <c r="N90" s="314"/>
    </row>
    <row r="91" spans="1:15" ht="14.25" customHeight="1" thickBot="1" x14ac:dyDescent="0.2">
      <c r="A91" s="372"/>
      <c r="B91" s="371"/>
      <c r="C91" s="370"/>
      <c r="D91" s="370"/>
      <c r="G91" s="190"/>
      <c r="H91" s="186"/>
      <c r="I91" s="62"/>
      <c r="J91" s="62"/>
      <c r="K91" s="62"/>
      <c r="L91" s="43"/>
      <c r="M91" s="61"/>
      <c r="N91" s="315"/>
    </row>
    <row r="92" spans="1:15" ht="14.25" customHeight="1" x14ac:dyDescent="0.15">
      <c r="A92" s="730"/>
      <c r="B92" s="731"/>
      <c r="C92" s="731"/>
      <c r="D92" s="732"/>
      <c r="G92" s="185"/>
      <c r="H92" s="82" t="str">
        <f>IF(I16=1,INDEX(lstLabelPauschale,1),IF(OR(I16=2,I16=5),INDEX(lstLabelPauschale,2),INDEX(lstLabelPauschale,3)))</f>
        <v>Mietpauschale pro Monat (ohne Service)</v>
      </c>
      <c r="I92" s="63"/>
      <c r="J92" s="63"/>
      <c r="K92" s="63"/>
      <c r="L92" s="64">
        <f>IF(I16=1,C62-L41,ROUND(IF(AND(C14=TRUE,J16=12),IF(I16=2,((C62-L41-E54)*L83+(E54*'Miete Graphax'!C15)),IF(I16=3,(C62-L41)*L84,IF(I16=4,(C62-L41)*H16,IF(I16=5,(C62-L41)*G16)))),IF(I16=2,(C62-L41)*L83,IF(I16=3,(C62-L41)*L84,IF(I16=4,(C62-L41)*H16,IF(I16=5,(C62-L41)*G16)))))*20,0)/20)</f>
        <v>45.15</v>
      </c>
      <c r="M92" s="189"/>
      <c r="N92" s="316"/>
    </row>
    <row r="93" spans="1:15" ht="14.25" customHeight="1" thickBot="1" x14ac:dyDescent="0.2">
      <c r="A93" s="369">
        <v>0</v>
      </c>
      <c r="B93" s="45">
        <v>0</v>
      </c>
      <c r="C93" s="47">
        <f>A93+B93</f>
        <v>0</v>
      </c>
      <c r="D93" s="48">
        <f>ROUND(IF($I$16=2,B93/$J$16,IF($I$16=5,B93/$J$16,0))*20,0)/20</f>
        <v>0</v>
      </c>
      <c r="E93" s="192"/>
      <c r="G93" s="185"/>
      <c r="H93" s="227" t="s">
        <v>212</v>
      </c>
      <c r="I93" s="228"/>
      <c r="J93" s="228"/>
      <c r="K93" s="228"/>
      <c r="L93" s="229">
        <f>ROUND((SUM(M64:M69)+(L41*L89))*20,0)/20</f>
        <v>0</v>
      </c>
      <c r="M93" s="189"/>
      <c r="N93" s="317"/>
    </row>
    <row r="94" spans="1:15" ht="14.25" customHeight="1" x14ac:dyDescent="0.15">
      <c r="A94" s="371"/>
      <c r="B94" s="371"/>
      <c r="C94" s="370"/>
      <c r="D94" s="370"/>
      <c r="E94" s="192"/>
      <c r="G94" s="185"/>
      <c r="H94" s="83" t="s">
        <v>213</v>
      </c>
      <c r="I94" s="84">
        <f>H56</f>
        <v>1</v>
      </c>
      <c r="J94" s="81">
        <f>H61</f>
        <v>0</v>
      </c>
      <c r="K94" s="81"/>
      <c r="L94" s="65">
        <f>SUM(M58:M62)+H58+H63+H68</f>
        <v>0</v>
      </c>
      <c r="M94" s="189"/>
    </row>
    <row r="95" spans="1:15" ht="14.25" customHeight="1" thickBot="1" x14ac:dyDescent="0.2">
      <c r="E95" s="192"/>
      <c r="G95" s="98"/>
      <c r="H95" s="66" t="str">
        <f>IF(I16=1," ",INDEX(lstLabelPauschale,4))</f>
        <v>Monatspauschale Total</v>
      </c>
      <c r="I95" s="66"/>
      <c r="J95" s="66"/>
      <c r="K95" s="66"/>
      <c r="L95" s="67">
        <f>IF(I16=1," ",SUM(L92:L94))</f>
        <v>45.15</v>
      </c>
      <c r="M95" s="191"/>
      <c r="N95" s="91"/>
    </row>
    <row r="96" spans="1:15" ht="14.25" customHeight="1" thickBot="1" x14ac:dyDescent="0.2">
      <c r="A96" s="713" t="s">
        <v>214</v>
      </c>
      <c r="B96" s="714"/>
      <c r="C96" s="715" t="s">
        <v>7</v>
      </c>
      <c r="D96" s="716"/>
      <c r="E96" s="192"/>
      <c r="N96" s="91"/>
      <c r="O96" s="91"/>
    </row>
    <row r="97" spans="1:13" ht="14.25" customHeight="1" thickBot="1" x14ac:dyDescent="0.2">
      <c r="A97" s="223"/>
      <c r="B97" s="224"/>
      <c r="C97" s="225"/>
      <c r="D97" s="226"/>
      <c r="E97" s="192"/>
    </row>
    <row r="98" spans="1:13" ht="23.1" customHeight="1" thickBot="1" x14ac:dyDescent="0.2">
      <c r="A98" s="129" t="s">
        <v>215</v>
      </c>
      <c r="B98" s="193"/>
      <c r="C98" s="193"/>
      <c r="D98" s="194"/>
      <c r="E98" s="195"/>
      <c r="F98" s="195"/>
      <c r="G98" s="195"/>
      <c r="H98" s="195"/>
      <c r="I98" s="195"/>
      <c r="J98" s="321" t="s">
        <v>216</v>
      </c>
      <c r="K98" s="619"/>
      <c r="L98" s="711" t="s">
        <v>8</v>
      </c>
      <c r="M98" s="712"/>
    </row>
    <row r="99" spans="1:13" ht="16.5" customHeight="1" x14ac:dyDescent="0.15">
      <c r="A99" s="358"/>
      <c r="B99" s="359"/>
      <c r="C99" s="359"/>
      <c r="D99" s="359"/>
      <c r="E99" s="359"/>
      <c r="F99" s="359"/>
      <c r="G99" s="359"/>
      <c r="H99" s="359"/>
      <c r="I99" s="359"/>
      <c r="J99" s="359"/>
      <c r="K99" s="359"/>
      <c r="L99" s="359"/>
      <c r="M99" s="360"/>
    </row>
    <row r="100" spans="1:13" ht="12.75" customHeight="1" x14ac:dyDescent="0.15">
      <c r="A100" s="361"/>
      <c r="B100" s="362"/>
      <c r="C100" s="362"/>
      <c r="D100" s="362"/>
      <c r="E100" s="362"/>
      <c r="F100" s="362"/>
      <c r="G100" s="362"/>
      <c r="H100" s="362"/>
      <c r="I100" s="362"/>
      <c r="J100" s="362"/>
      <c r="K100" s="362"/>
      <c r="L100" s="362"/>
      <c r="M100" s="363"/>
    </row>
    <row r="101" spans="1:13" ht="12.75" customHeight="1" x14ac:dyDescent="0.15">
      <c r="A101" s="361"/>
      <c r="B101" s="362"/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3"/>
    </row>
    <row r="102" spans="1:13" ht="12.75" customHeight="1" x14ac:dyDescent="0.15">
      <c r="A102" s="361"/>
      <c r="B102" s="362"/>
      <c r="C102" s="362"/>
      <c r="D102" s="362"/>
      <c r="E102" s="362"/>
      <c r="F102" s="362"/>
      <c r="G102" s="362"/>
      <c r="H102" s="362"/>
      <c r="I102" s="362"/>
      <c r="J102" s="362"/>
      <c r="K102" s="362"/>
      <c r="L102" s="362"/>
      <c r="M102" s="363"/>
    </row>
    <row r="103" spans="1:13" ht="12.75" customHeight="1" x14ac:dyDescent="0.15">
      <c r="A103" s="361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3"/>
    </row>
    <row r="104" spans="1:13" ht="12.75" customHeight="1" x14ac:dyDescent="0.15">
      <c r="A104" s="361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3"/>
    </row>
    <row r="105" spans="1:13" ht="12.75" customHeight="1" x14ac:dyDescent="0.15">
      <c r="A105" s="361"/>
      <c r="B105" s="362"/>
      <c r="C105" s="362"/>
      <c r="D105" s="362"/>
      <c r="E105" s="362"/>
      <c r="F105" s="362"/>
      <c r="G105" s="362"/>
      <c r="H105" s="362"/>
      <c r="I105" s="362"/>
      <c r="J105" s="362"/>
      <c r="K105" s="362"/>
      <c r="L105" s="362"/>
      <c r="M105" s="363"/>
    </row>
    <row r="106" spans="1:13" ht="12.75" customHeight="1" x14ac:dyDescent="0.15">
      <c r="A106" s="361"/>
      <c r="B106" s="362"/>
      <c r="C106" s="362"/>
      <c r="D106" s="362"/>
      <c r="E106" s="362"/>
      <c r="F106" s="362"/>
      <c r="G106" s="362"/>
      <c r="H106" s="362"/>
      <c r="I106" s="362"/>
      <c r="J106" s="362"/>
      <c r="K106" s="362"/>
      <c r="L106" s="362"/>
      <c r="M106" s="363"/>
    </row>
    <row r="107" spans="1:13" ht="12.75" customHeight="1" thickBot="1" x14ac:dyDescent="0.2">
      <c r="A107" s="364"/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  <c r="L107" s="365"/>
      <c r="M107" s="366"/>
    </row>
    <row r="109" spans="1:13" ht="12.75" customHeight="1" x14ac:dyDescent="0.15">
      <c r="A109" s="196" t="s">
        <v>217</v>
      </c>
      <c r="B109" s="197"/>
      <c r="C109" s="197"/>
      <c r="E109" s="196" t="s">
        <v>218</v>
      </c>
      <c r="F109" s="197"/>
      <c r="G109" s="197"/>
      <c r="H109" s="197"/>
      <c r="J109" s="196" t="s">
        <v>219</v>
      </c>
      <c r="K109" s="196"/>
      <c r="L109" s="197"/>
      <c r="M109" s="197"/>
    </row>
    <row r="110" spans="1:13" ht="18" customHeight="1" x14ac:dyDescent="0.15">
      <c r="A110" s="196"/>
      <c r="B110" s="198"/>
      <c r="C110" s="199"/>
      <c r="E110" s="196"/>
      <c r="F110" s="198"/>
      <c r="J110" s="196"/>
      <c r="K110" s="196"/>
      <c r="L110" s="198"/>
    </row>
    <row r="111" spans="1:13" ht="12.75" customHeight="1" x14ac:dyDescent="0.15">
      <c r="A111" s="196" t="s">
        <v>220</v>
      </c>
      <c r="B111" s="449"/>
      <c r="C111" s="197"/>
      <c r="E111" s="196" t="s">
        <v>220</v>
      </c>
      <c r="F111" s="197"/>
      <c r="G111" s="197"/>
      <c r="H111" s="197"/>
      <c r="J111" s="196" t="s">
        <v>220</v>
      </c>
      <c r="K111" s="196"/>
      <c r="L111" s="449"/>
      <c r="M111" s="197"/>
    </row>
  </sheetData>
  <sheetProtection algorithmName="SHA-512" hashValue="XxT4H1gHSd2NA8zS+QH96X6HgI5IkqtqgP8ZC1YHgaV9VkAM8R+jOemwNvqwyJ9NLo0gsIRUO59ZO8MOXZbEKg==" saltValue="28LuZ3N10VK/dgPrZXXD0w==" spinCount="100000" sheet="1" formatCells="0" formatColumns="0" formatRows="0"/>
  <protectedRanges>
    <protectedRange algorithmName="SHA-512" hashValue="6pCK5Nd8kMNDZfqnbUjeeyTHdzupXtlEMcsSd+EwlCaf1iGFAo6ox/xvPoYMH2qEVfsBBv7SSbLMWvBD9YcHZg==" saltValue="MHOe4tU5U3wPZsE8TrUVrQ==" spinCount="100000" sqref="E21:E22" name="Bereich2"/>
    <protectedRange sqref="A15:B15 C11 F11 I11 E21" name="Bereich1"/>
    <protectedRange sqref="L28:L30" name="Bereich3"/>
    <protectedRange sqref="L37" name="Bereich4"/>
  </protectedRanges>
  <sortState xmlns:xlrd2="http://schemas.microsoft.com/office/spreadsheetml/2017/richdata2" ref="AC2:AC22">
    <sortCondition ref="AC22"/>
  </sortState>
  <dataConsolidate/>
  <mergeCells count="73">
    <mergeCell ref="A15:B15"/>
    <mergeCell ref="F11:G11"/>
    <mergeCell ref="C11:D11"/>
    <mergeCell ref="J72:L72"/>
    <mergeCell ref="E21:E22"/>
    <mergeCell ref="G43:M43"/>
    <mergeCell ref="G44:H44"/>
    <mergeCell ref="J56:M56"/>
    <mergeCell ref="G40:H40"/>
    <mergeCell ref="J44:K44"/>
    <mergeCell ref="J45:K45"/>
    <mergeCell ref="J46:K46"/>
    <mergeCell ref="J47:K47"/>
    <mergeCell ref="J48:K48"/>
    <mergeCell ref="E8:G8"/>
    <mergeCell ref="A1:B1"/>
    <mergeCell ref="C1:D1"/>
    <mergeCell ref="G6:H6"/>
    <mergeCell ref="B7:C7"/>
    <mergeCell ref="D7:E7"/>
    <mergeCell ref="G7:H7"/>
    <mergeCell ref="B6:C6"/>
    <mergeCell ref="D6:E6"/>
    <mergeCell ref="B5:C5"/>
    <mergeCell ref="D5:E5"/>
    <mergeCell ref="G1:H1"/>
    <mergeCell ref="B3:C3"/>
    <mergeCell ref="L1:M1"/>
    <mergeCell ref="G34:M34"/>
    <mergeCell ref="G35:H35"/>
    <mergeCell ref="G26:H26"/>
    <mergeCell ref="G5:I5"/>
    <mergeCell ref="E9:G9"/>
    <mergeCell ref="G19:H19"/>
    <mergeCell ref="A18:M18"/>
    <mergeCell ref="A14:B14"/>
    <mergeCell ref="A16:B16"/>
    <mergeCell ref="L14:M14"/>
    <mergeCell ref="J5:M5"/>
    <mergeCell ref="H10:L10"/>
    <mergeCell ref="J7:M7"/>
    <mergeCell ref="B9:D9"/>
    <mergeCell ref="B8:D8"/>
    <mergeCell ref="L98:M98"/>
    <mergeCell ref="A96:B96"/>
    <mergeCell ref="C96:D96"/>
    <mergeCell ref="A26:B26"/>
    <mergeCell ref="A25:E25"/>
    <mergeCell ref="G25:M25"/>
    <mergeCell ref="M78:M79"/>
    <mergeCell ref="J74:L74"/>
    <mergeCell ref="J78:J79"/>
    <mergeCell ref="A92:D92"/>
    <mergeCell ref="J63:M63"/>
    <mergeCell ref="A83:D83"/>
    <mergeCell ref="A86:D86"/>
    <mergeCell ref="A89:D89"/>
    <mergeCell ref="F71:G71"/>
    <mergeCell ref="A66:A67"/>
    <mergeCell ref="J9:K9"/>
    <mergeCell ref="I11:K11"/>
    <mergeCell ref="J13:K13"/>
    <mergeCell ref="J2:K2"/>
    <mergeCell ref="J3:K3"/>
    <mergeCell ref="J4:K4"/>
    <mergeCell ref="J6:K6"/>
    <mergeCell ref="J8:K8"/>
    <mergeCell ref="K76:L76"/>
    <mergeCell ref="K77:L77"/>
    <mergeCell ref="K78:L79"/>
    <mergeCell ref="J49:K49"/>
    <mergeCell ref="J50:K50"/>
    <mergeCell ref="J51:K51"/>
  </mergeCells>
  <phoneticPr fontId="0" type="noConversion"/>
  <conditionalFormatting sqref="H32">
    <cfRule type="cellIs" dxfId="11" priority="4" operator="between">
      <formula>0.1</formula>
      <formula>0.15</formula>
    </cfRule>
    <cfRule type="cellIs" dxfId="10" priority="5" operator="between">
      <formula>0.15</formula>
      <formula>0.222</formula>
    </cfRule>
    <cfRule type="cellIs" dxfId="9" priority="11" operator="between">
      <formula>0.222</formula>
      <formula>1</formula>
    </cfRule>
  </conditionalFormatting>
  <conditionalFormatting sqref="H39">
    <cfRule type="cellIs" dxfId="8" priority="1" operator="between">
      <formula>0.1</formula>
      <formula>0.15</formula>
    </cfRule>
    <cfRule type="cellIs" dxfId="7" priority="2" operator="between">
      <formula>0.15</formula>
      <formula>0.222</formula>
    </cfRule>
    <cfRule type="cellIs" dxfId="6" priority="3" operator="between">
      <formula>0.222</formula>
      <formula>1</formula>
    </cfRule>
  </conditionalFormatting>
  <conditionalFormatting sqref="I33">
    <cfRule type="cellIs" dxfId="5" priority="12" operator="between">
      <formula>0.25</formula>
      <formula>1</formula>
    </cfRule>
    <cfRule type="cellIs" dxfId="4" priority="13" operator="between">
      <formula>0.1</formula>
      <formula>0.25</formula>
    </cfRule>
    <cfRule type="cellIs" dxfId="3" priority="14" operator="lessThan">
      <formula>0.1</formula>
    </cfRule>
  </conditionalFormatting>
  <conditionalFormatting sqref="I41">
    <cfRule type="cellIs" dxfId="2" priority="7" operator="between">
      <formula>0.25</formula>
      <formula>1</formula>
    </cfRule>
    <cfRule type="cellIs" dxfId="1" priority="8" operator="between">
      <formula>0.1</formula>
      <formula>0.25</formula>
    </cfRule>
    <cfRule type="cellIs" dxfId="0" priority="9" operator="lessThan">
      <formula>0.1</formula>
    </cfRule>
  </conditionalFormatting>
  <dataValidations count="19">
    <dataValidation type="list" allowBlank="1" showInputMessage="1" showErrorMessage="1" sqref="I15" xr:uid="{00000000-0002-0000-0000-000000000000}">
      <formula1>lstFaktLeasing</formula1>
    </dataValidation>
    <dataValidation type="list" allowBlank="1" showInputMessage="1" showErrorMessage="1" sqref="M15:M16" xr:uid="{00000000-0002-0000-0000-000001000000}">
      <formula1>lstFakturierung</formula1>
    </dataValidation>
    <dataValidation type="list" allowBlank="1" showInputMessage="1" promptTitle="Laufzeit" prompt="Standardlaufzeit aus Liste wählen oder abweichende Anzahl Monate direkt eingeben." sqref="J16" xr:uid="{00000000-0002-0000-0000-000003000000}">
      <formula1>lstLaufzeit</formula1>
    </dataValidation>
    <dataValidation type="list" allowBlank="1" showInputMessage="1" showErrorMessage="1" sqref="H71" xr:uid="{00000000-0002-0000-0000-000004000000}">
      <formula1>lstClickType</formula1>
    </dataValidation>
    <dataValidation type="list" allowBlank="1" showInputMessage="1" showErrorMessage="1" sqref="J58:L58" xr:uid="{00000000-0002-0000-0000-000005000000}">
      <formula1>lstSLA</formula1>
    </dataValidation>
    <dataValidation type="list" allowBlank="1" showInputMessage="1" showErrorMessage="1" sqref="H73 H75 H77 H79 I40" xr:uid="{00000000-0002-0000-0000-000006000000}">
      <formula1>lstJaNein</formula1>
    </dataValidation>
    <dataValidation type="list" allowBlank="1" showInputMessage="1" showErrorMessage="1" sqref="J27:J30 J37" xr:uid="{00000000-0002-0000-0000-000007000000}">
      <formula1>lstKalkSW</formula1>
    </dataValidation>
    <dataValidation type="list" allowBlank="1" showInputMessage="1" showErrorMessage="1" sqref="L98:M98" xr:uid="{00000000-0002-0000-0000-000008000000}">
      <formula1>lstFaktGebuehren</formula1>
    </dataValidation>
    <dataValidation type="list" allowBlank="1" showInputMessage="1" showErrorMessage="1" sqref="C96:D96" xr:uid="{00000000-0002-0000-0000-000009000000}">
      <formula1>lstAnlieferung</formula1>
    </dataValidation>
    <dataValidation type="list" allowBlank="1" showInputMessage="1" showErrorMessage="1" sqref="E64:G64" xr:uid="{00000000-0002-0000-0000-00000A000000}">
      <formula1>lstMehrseitenColor</formula1>
    </dataValidation>
    <dataValidation type="list" allowBlank="1" showInputMessage="1" showErrorMessage="1" sqref="E59:G59" xr:uid="{00000000-0002-0000-0000-00000B000000}">
      <formula1>lstMehrseitenSW</formula1>
    </dataValidation>
    <dataValidation type="list" allowBlank="1" showInputMessage="1" showErrorMessage="1" sqref="E69" xr:uid="{00000000-0002-0000-0000-00000C000000}">
      <formula1>lstMehrscan</formula1>
    </dataValidation>
    <dataValidation type="list" allowBlank="1" showInputMessage="1" showErrorMessage="1" sqref="J64:L64" xr:uid="{00000000-0002-0000-0000-00000D000000}">
      <formula1>lstFleet</formula1>
    </dataValidation>
    <dataValidation type="list" allowBlank="1" showInputMessage="1" showErrorMessage="1" sqref="A15:B15" xr:uid="{00000000-0002-0000-0000-00000E000000}">
      <formula1>lstBusinessType</formula1>
    </dataValidation>
    <dataValidation type="list" allowBlank="1" showInputMessage="1" showErrorMessage="1" sqref="A16:B16" xr:uid="{00000000-0002-0000-0000-00000F000000}">
      <formula1>lstVertragsart</formula1>
    </dataValidation>
    <dataValidation type="list" allowBlank="1" showInputMessage="1" showErrorMessage="1" sqref="D27:D52" xr:uid="{00000000-0002-0000-0000-000010000000}">
      <formula1>lstKalkHW</formula1>
    </dataValidation>
    <dataValidation type="list" allowBlank="1" showInputMessage="1" showErrorMessage="1" promptTitle="SUPPORT?" sqref="A66:A67" xr:uid="{00000000-0002-0000-0000-000011000000}">
      <formula1>lstSupportType</formula1>
    </dataValidation>
    <dataValidation type="list" allowBlank="1" showInputMessage="1" showErrorMessage="1" sqref="B10" xr:uid="{00000000-0002-0000-0000-000012000000}">
      <formula1>lstZaehler</formula1>
    </dataValidation>
    <dataValidation type="custom" allowBlank="1" showInputMessage="1" showErrorMessage="1" errorTitle="Rabattkompetenz überschritten" error="Wert muss unter 33.4% sein" promptTitle="Rabattkompetenz" prompt="Sales AM max. 20%_x000a_Sales KAM max. 25%_x000a_Sales Manager max. 33.3%" sqref="E21:E22" xr:uid="{00000000-0002-0000-0000-000013000000}">
      <formula1>AND(E21&gt;=-120%,E21&lt;=33.4%,E21&lt;=34%)</formula1>
    </dataValidation>
  </dataValidations>
  <printOptions horizontalCentered="1"/>
  <pageMargins left="0.23622047244094491" right="0.23622047244094491" top="0.35433070866141736" bottom="0.19685039370078741" header="0.19685039370078741" footer="0.27559055118110237"/>
  <pageSetup paperSize="9" scale="51" orientation="portrait" r:id="rId1"/>
  <headerFooter alignWithMargins="0">
    <oddFooter>&amp;C&amp;K0000FF&amp;F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locked="0" defaultSize="0" autoFill="0" autoLine="0" autoPict="0">
                <anchor moveWithCells="1">
                  <from>
                    <xdr:col>12</xdr:col>
                    <xdr:colOff>400050</xdr:colOff>
                    <xdr:row>21</xdr:row>
                    <xdr:rowOff>133350</xdr:rowOff>
                  </from>
                  <to>
                    <xdr:col>12</xdr:col>
                    <xdr:colOff>1009650</xdr:colOff>
                    <xdr:row>22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Check Box 13">
              <controlPr locked="0" defaultSize="0" autoFill="0" autoLine="0" autoPict="0">
                <anchor moveWithCells="1" sizeWithCells="1">
                  <from>
                    <xdr:col>2</xdr:col>
                    <xdr:colOff>266700</xdr:colOff>
                    <xdr:row>19</xdr:row>
                    <xdr:rowOff>85725</xdr:rowOff>
                  </from>
                  <to>
                    <xdr:col>3</xdr:col>
                    <xdr:colOff>495300</xdr:colOff>
                    <xdr:row>20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Check Box 14">
              <controlPr locked="0" defaultSize="0" autoFill="0" autoLine="0" autoPict="0">
                <anchor moveWithCells="1" sizeWithCells="1">
                  <from>
                    <xdr:col>2</xdr:col>
                    <xdr:colOff>266700</xdr:colOff>
                    <xdr:row>20</xdr:row>
                    <xdr:rowOff>57150</xdr:rowOff>
                  </from>
                  <to>
                    <xdr:col>3</xdr:col>
                    <xdr:colOff>1085850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7" name="Option Button 52">
              <controlPr defaultSize="0" autoFill="0" autoLine="0" autoPict="0">
                <anchor moveWithCells="1">
                  <from>
                    <xdr:col>3</xdr:col>
                    <xdr:colOff>1114425</xdr:colOff>
                    <xdr:row>13</xdr:row>
                    <xdr:rowOff>142875</xdr:rowOff>
                  </from>
                  <to>
                    <xdr:col>4</xdr:col>
                    <xdr:colOff>514350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8" name="Option Button 53">
              <controlPr defaultSize="0" autoFill="0" autoLine="0" autoPict="0">
                <anchor moveWithCells="1">
                  <from>
                    <xdr:col>3</xdr:col>
                    <xdr:colOff>1104900</xdr:colOff>
                    <xdr:row>14</xdr:row>
                    <xdr:rowOff>133350</xdr:rowOff>
                  </from>
                  <to>
                    <xdr:col>4</xdr:col>
                    <xdr:colOff>495300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9" name="Option Button 54">
              <controlPr defaultSize="0" autoFill="0" autoLine="0" autoPict="0">
                <anchor moveWithCells="1">
                  <from>
                    <xdr:col>4</xdr:col>
                    <xdr:colOff>447675</xdr:colOff>
                    <xdr:row>14</xdr:row>
                    <xdr:rowOff>0</xdr:rowOff>
                  </from>
                  <to>
                    <xdr:col>5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" name="Check Box 124">
              <controlPr locked="0" defaultSize="0" autoFill="0" autoLine="0" autoPict="0">
                <anchor moveWithCells="1" sizeWithCells="1">
                  <from>
                    <xdr:col>8</xdr:col>
                    <xdr:colOff>95250</xdr:colOff>
                    <xdr:row>14</xdr:row>
                    <xdr:rowOff>180975</xdr:rowOff>
                  </from>
                  <to>
                    <xdr:col>8</xdr:col>
                    <xdr:colOff>1276350</xdr:colOff>
                    <xdr:row>15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1" name="Option Button 154">
              <controlPr defaultSize="0" autoFill="0" autoLine="0" autoPict="0">
                <anchor moveWithCells="1">
                  <from>
                    <xdr:col>7</xdr:col>
                    <xdr:colOff>266700</xdr:colOff>
                    <xdr:row>13</xdr:row>
                    <xdr:rowOff>190500</xdr:rowOff>
                  </from>
                  <to>
                    <xdr:col>7</xdr:col>
                    <xdr:colOff>1104900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2" name="Check Box 208">
              <controlPr locked="0" defaultSize="0" autoFill="0" autoLine="0" autoPict="0">
                <anchor moveWithCells="1">
                  <from>
                    <xdr:col>2</xdr:col>
                    <xdr:colOff>876300</xdr:colOff>
                    <xdr:row>13</xdr:row>
                    <xdr:rowOff>133350</xdr:rowOff>
                  </from>
                  <to>
                    <xdr:col>3</xdr:col>
                    <xdr:colOff>676275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13" name="Check Box 295">
              <controlPr locked="0"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180975</xdr:rowOff>
                  </from>
                  <to>
                    <xdr:col>3</xdr:col>
                    <xdr:colOff>133350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14" name="Check Box 315">
              <controlPr locked="0" defaultSize="0" autoFill="0" autoLine="0" autoPict="0">
                <anchor moveWithCells="1">
                  <from>
                    <xdr:col>2</xdr:col>
                    <xdr:colOff>876300</xdr:colOff>
                    <xdr:row>14</xdr:row>
                    <xdr:rowOff>133350</xdr:rowOff>
                  </from>
                  <to>
                    <xdr:col>3</xdr:col>
                    <xdr:colOff>638175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15" name="Check Box 385">
              <controlPr locked="0" defaultSize="0" autoFill="0" autoLine="0" autoPict="0">
                <anchor moveWithCells="1">
                  <from>
                    <xdr:col>2</xdr:col>
                    <xdr:colOff>238125</xdr:colOff>
                    <xdr:row>13</xdr:row>
                    <xdr:rowOff>133350</xdr:rowOff>
                  </from>
                  <to>
                    <xdr:col>2</xdr:col>
                    <xdr:colOff>723900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16" name="Option Button 387">
              <controlPr defaultSize="0" autoFill="0" autoLine="0" autoPict="0">
                <anchor moveWithCells="1">
                  <from>
                    <xdr:col>6</xdr:col>
                    <xdr:colOff>171450</xdr:colOff>
                    <xdr:row>13</xdr:row>
                    <xdr:rowOff>180975</xdr:rowOff>
                  </from>
                  <to>
                    <xdr:col>6</xdr:col>
                    <xdr:colOff>1047750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17" name="Check Box 399">
              <controlPr locked="0" defaultSize="0" autoFill="0" autoLine="0" autoPict="0">
                <anchor moveWithCells="1" sizeWithCells="1">
                  <from>
                    <xdr:col>2</xdr:col>
                    <xdr:colOff>238125</xdr:colOff>
                    <xdr:row>14</xdr:row>
                    <xdr:rowOff>133350</xdr:rowOff>
                  </from>
                  <to>
                    <xdr:col>2</xdr:col>
                    <xdr:colOff>695325</xdr:colOff>
                    <xdr:row>15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outlinePr summaryBelow="0" summaryRight="0"/>
    <pageSetUpPr fitToPage="1"/>
  </sheetPr>
  <dimension ref="A1:P91"/>
  <sheetViews>
    <sheetView showGridLines="0" topLeftCell="A28" zoomScale="70" zoomScaleNormal="70" zoomScaleSheetLayoutView="86" workbookViewId="0">
      <selection activeCell="C37" sqref="C37"/>
    </sheetView>
  </sheetViews>
  <sheetFormatPr defaultColWidth="11.32421875" defaultRowHeight="12.75" customHeight="1" x14ac:dyDescent="0.15"/>
  <cols>
    <col min="1" max="1" width="17.39453125" style="87" customWidth="1"/>
    <col min="2" max="2" width="26.56640625" style="87" customWidth="1"/>
    <col min="3" max="3" width="60.0078125" style="87" customWidth="1"/>
    <col min="4" max="4" width="18.33984375" style="87" customWidth="1"/>
    <col min="5" max="5" width="14.5625" style="87" customWidth="1"/>
    <col min="6" max="6" width="13.6171875" style="87" customWidth="1"/>
    <col min="7" max="8" width="14.5625" style="87" customWidth="1"/>
    <col min="9" max="9" width="14.96875" style="87" customWidth="1"/>
    <col min="10" max="10" width="24.2734375" style="87" customWidth="1"/>
    <col min="11" max="12" width="11.32421875" style="87"/>
    <col min="13" max="13" width="13.34765625" style="308" customWidth="1"/>
    <col min="14" max="15" width="11.32421875" style="308" customWidth="1"/>
    <col min="16" max="24" width="11.32421875" style="87" customWidth="1"/>
    <col min="25" max="16384" width="11.32421875" style="87"/>
  </cols>
  <sheetData>
    <row r="1" spans="1:16" ht="18" customHeight="1" thickBot="1" x14ac:dyDescent="0.2">
      <c r="A1" s="789" t="str">
        <f>Kalkulation!$A$1</f>
        <v>Kalkulationstool</v>
      </c>
      <c r="B1" s="790"/>
      <c r="C1" s="480" t="str">
        <f>Kalkulation!C1</f>
        <v>Version: Q4 2025 rev. 1</v>
      </c>
      <c r="D1" s="791">
        <f>Kalkulation!G1</f>
        <v>46274</v>
      </c>
      <c r="E1" s="791"/>
      <c r="F1" s="481"/>
      <c r="G1" s="481"/>
      <c r="H1" s="481"/>
      <c r="I1" s="798">
        <f>Kalkulation!$L$1</f>
        <v>46274</v>
      </c>
      <c r="J1" s="798"/>
    </row>
    <row r="2" spans="1:16" ht="9" customHeight="1" thickBot="1" x14ac:dyDescent="0.2">
      <c r="A2" s="482"/>
      <c r="B2" s="482"/>
      <c r="C2" s="482"/>
      <c r="D2" s="482"/>
      <c r="E2" s="482"/>
      <c r="F2" s="482"/>
      <c r="G2" s="482"/>
      <c r="H2" s="482"/>
      <c r="I2" s="482"/>
      <c r="J2" s="482"/>
      <c r="M2" s="309"/>
      <c r="N2" s="414"/>
      <c r="O2" s="379"/>
      <c r="P2" s="88"/>
    </row>
    <row r="3" spans="1:16" ht="21.75" customHeight="1" x14ac:dyDescent="0.15">
      <c r="A3" s="483" t="s">
        <v>23</v>
      </c>
      <c r="B3" s="484">
        <f>Kalkulation!B3</f>
        <v>0</v>
      </c>
      <c r="C3" s="485" t="s">
        <v>24</v>
      </c>
      <c r="D3" s="486">
        <f>Kalkulation!E3</f>
        <v>0</v>
      </c>
      <c r="E3" s="487"/>
      <c r="F3" s="485"/>
      <c r="G3" s="485"/>
      <c r="H3" s="485"/>
      <c r="I3" s="485" t="s">
        <v>225</v>
      </c>
      <c r="J3" s="488">
        <f>Kalkulation!M3</f>
        <v>0</v>
      </c>
      <c r="K3" s="568" t="s">
        <v>226</v>
      </c>
      <c r="L3" s="86"/>
      <c r="M3" s="309"/>
      <c r="N3" s="414"/>
      <c r="O3" s="413"/>
      <c r="P3" s="88"/>
    </row>
    <row r="4" spans="1:16" ht="21.75" customHeight="1" x14ac:dyDescent="0.15">
      <c r="A4" s="489" t="s">
        <v>25</v>
      </c>
      <c r="B4" s="490">
        <f>Kalkulation!H3</f>
        <v>0</v>
      </c>
      <c r="C4" s="491" t="s">
        <v>229</v>
      </c>
      <c r="D4" s="490">
        <f>Kalkulation!J3</f>
        <v>0</v>
      </c>
      <c r="E4" s="482"/>
      <c r="F4" s="482"/>
      <c r="G4" s="482"/>
      <c r="H4" s="482"/>
      <c r="I4" s="485" t="s">
        <v>381</v>
      </c>
      <c r="J4" s="488">
        <f>Kalkulation!M8</f>
        <v>0</v>
      </c>
      <c r="K4" s="85"/>
      <c r="L4" s="86"/>
      <c r="M4" s="310"/>
      <c r="N4" s="414"/>
      <c r="O4" s="379"/>
      <c r="P4" s="89"/>
    </row>
    <row r="5" spans="1:16" ht="21.75" customHeight="1" x14ac:dyDescent="0.15">
      <c r="A5" s="489" t="s">
        <v>40</v>
      </c>
      <c r="B5" s="492">
        <f>Kalkulation!B5</f>
        <v>0</v>
      </c>
      <c r="C5" s="490">
        <f>Kalkulation!D5</f>
        <v>0</v>
      </c>
      <c r="D5" s="490">
        <f>Kalkulation!G5</f>
        <v>0</v>
      </c>
      <c r="E5" s="794">
        <f>Kalkulation!J5</f>
        <v>0</v>
      </c>
      <c r="F5" s="794"/>
      <c r="G5" s="794"/>
      <c r="H5" s="794"/>
      <c r="I5" s="794"/>
      <c r="J5" s="795"/>
      <c r="K5" s="86"/>
      <c r="L5" s="86"/>
      <c r="M5" s="310"/>
      <c r="O5" s="379"/>
      <c r="P5" s="90"/>
    </row>
    <row r="6" spans="1:16" ht="21.75" customHeight="1" x14ac:dyDescent="0.15">
      <c r="A6" s="489" t="s">
        <v>232</v>
      </c>
      <c r="B6" s="678" t="str">
        <f>Kalkulation!M4</f>
        <v>V-</v>
      </c>
      <c r="C6" s="493"/>
      <c r="D6" s="493"/>
      <c r="E6" s="482"/>
      <c r="F6" s="491"/>
      <c r="G6" s="491"/>
      <c r="H6" s="491"/>
      <c r="I6" s="491" t="s">
        <v>54</v>
      </c>
      <c r="J6" s="679">
        <f ca="1">TODAY()</f>
        <v>46274</v>
      </c>
      <c r="K6" s="86"/>
      <c r="L6" s="86"/>
      <c r="M6" s="310"/>
      <c r="N6" s="379"/>
      <c r="O6" s="379"/>
      <c r="P6" s="240"/>
    </row>
    <row r="7" spans="1:16" ht="14.1" customHeight="1" thickBot="1" x14ac:dyDescent="0.2">
      <c r="A7" s="494"/>
      <c r="B7" s="803"/>
      <c r="C7" s="803"/>
      <c r="D7" s="803"/>
      <c r="E7" s="803"/>
      <c r="F7" s="495"/>
      <c r="G7" s="495"/>
      <c r="H7" s="495"/>
      <c r="I7" s="495"/>
      <c r="J7" s="496"/>
      <c r="K7" s="86"/>
      <c r="L7" s="86"/>
      <c r="M7" s="310"/>
      <c r="N7" s="379"/>
      <c r="O7" s="379"/>
      <c r="P7" s="90"/>
    </row>
    <row r="8" spans="1:16" ht="18" customHeight="1" thickBot="1" x14ac:dyDescent="0.2">
      <c r="A8" s="485"/>
      <c r="B8" s="796"/>
      <c r="C8" s="796"/>
      <c r="D8" s="796"/>
      <c r="E8" s="797"/>
      <c r="F8" s="797"/>
      <c r="G8" s="797"/>
      <c r="H8" s="797"/>
      <c r="I8" s="797"/>
      <c r="J8" s="797"/>
      <c r="K8" s="86"/>
      <c r="L8" s="86"/>
      <c r="M8" s="311"/>
      <c r="N8" s="379"/>
      <c r="O8" s="379"/>
      <c r="P8" s="90"/>
    </row>
    <row r="9" spans="1:16" ht="9" customHeight="1" x14ac:dyDescent="0.15">
      <c r="A9" s="497"/>
      <c r="B9" s="498"/>
      <c r="C9" s="498"/>
      <c r="D9" s="498"/>
      <c r="E9" s="498"/>
      <c r="F9" s="498"/>
      <c r="G9" s="498"/>
      <c r="H9" s="498"/>
      <c r="I9" s="498"/>
      <c r="J9" s="499"/>
      <c r="K9" s="86"/>
      <c r="L9" s="92"/>
      <c r="M9" s="311"/>
      <c r="N9" s="379"/>
      <c r="O9" s="379"/>
      <c r="P9" s="90"/>
    </row>
    <row r="10" spans="1:16" ht="27.75" customHeight="1" x14ac:dyDescent="0.15">
      <c r="A10" s="792" t="s">
        <v>237</v>
      </c>
      <c r="B10" s="793"/>
      <c r="C10" s="500"/>
      <c r="D10" s="500"/>
      <c r="E10" s="500"/>
      <c r="F10" s="500"/>
      <c r="G10" s="500"/>
      <c r="H10" s="501"/>
      <c r="I10" s="491" t="s">
        <v>238</v>
      </c>
      <c r="J10" s="502"/>
      <c r="K10" s="86"/>
      <c r="L10" s="92"/>
      <c r="N10" s="379"/>
      <c r="O10" s="379"/>
      <c r="P10" s="90"/>
    </row>
    <row r="11" spans="1:16" ht="27.75" customHeight="1" x14ac:dyDescent="0.15">
      <c r="A11" s="792" t="s">
        <v>240</v>
      </c>
      <c r="B11" s="793"/>
      <c r="C11" s="503"/>
      <c r="D11" s="504"/>
      <c r="E11" s="504"/>
      <c r="F11" s="491"/>
      <c r="G11" s="501"/>
      <c r="H11" s="501"/>
      <c r="I11" s="491" t="s">
        <v>241</v>
      </c>
      <c r="J11" s="505"/>
      <c r="K11" s="86"/>
      <c r="L11" s="92"/>
      <c r="N11" s="379"/>
      <c r="O11" s="379"/>
    </row>
    <row r="12" spans="1:16" ht="27.75" customHeight="1" x14ac:dyDescent="0.15">
      <c r="A12" s="792" t="s">
        <v>243</v>
      </c>
      <c r="B12" s="793"/>
      <c r="C12" s="506"/>
      <c r="D12" s="504"/>
      <c r="E12" s="504"/>
      <c r="F12" s="491"/>
      <c r="G12" s="501"/>
      <c r="H12" s="501"/>
      <c r="I12" s="491"/>
      <c r="J12" s="507"/>
      <c r="K12" s="86"/>
      <c r="L12" s="92"/>
      <c r="N12" s="379"/>
    </row>
    <row r="13" spans="1:16" ht="36" customHeight="1" x14ac:dyDescent="0.15">
      <c r="A13" s="792" t="s">
        <v>245</v>
      </c>
      <c r="B13" s="793"/>
      <c r="C13" s="506"/>
      <c r="D13" s="504"/>
      <c r="E13" s="504"/>
      <c r="F13" s="508"/>
      <c r="G13" s="793" t="s">
        <v>246</v>
      </c>
      <c r="H13" s="793"/>
      <c r="I13" s="793"/>
      <c r="J13" s="509"/>
      <c r="K13" s="86"/>
      <c r="L13" s="92"/>
      <c r="N13" s="379"/>
    </row>
    <row r="14" spans="1:16" ht="27.75" customHeight="1" x14ac:dyDescent="0.15">
      <c r="A14" s="792" t="s">
        <v>383</v>
      </c>
      <c r="B14" s="793"/>
      <c r="C14" s="506"/>
      <c r="D14" s="510"/>
      <c r="E14" s="510"/>
      <c r="F14" s="501"/>
      <c r="G14" s="501"/>
      <c r="H14" s="501"/>
      <c r="I14" s="501"/>
      <c r="J14" s="511"/>
      <c r="K14" s="86"/>
      <c r="L14" s="92"/>
    </row>
    <row r="15" spans="1:16" ht="27.75" customHeight="1" x14ac:dyDescent="0.15">
      <c r="A15" s="792" t="s">
        <v>249</v>
      </c>
      <c r="B15" s="793"/>
      <c r="C15" s="810"/>
      <c r="D15" s="810"/>
      <c r="E15" s="810"/>
      <c r="F15" s="512"/>
      <c r="G15" s="793" t="s">
        <v>164</v>
      </c>
      <c r="H15" s="793"/>
      <c r="I15" s="793"/>
      <c r="J15" s="509"/>
      <c r="K15" s="86"/>
      <c r="L15" s="92"/>
    </row>
    <row r="16" spans="1:16" ht="27.75" customHeight="1" thickBot="1" x14ac:dyDescent="0.2">
      <c r="A16" s="513"/>
      <c r="B16" s="514"/>
      <c r="C16" s="514"/>
      <c r="D16" s="514"/>
      <c r="E16" s="514"/>
      <c r="F16" s="514"/>
      <c r="G16" s="514"/>
      <c r="H16" s="514"/>
      <c r="I16" s="514"/>
      <c r="J16" s="515"/>
      <c r="K16" s="368"/>
      <c r="L16" s="92"/>
    </row>
    <row r="17" spans="1:12" ht="18.75" customHeight="1" x14ac:dyDescent="0.15">
      <c r="A17" s="482"/>
      <c r="B17" s="516"/>
      <c r="C17" s="516"/>
      <c r="D17" s="516"/>
      <c r="E17" s="516"/>
      <c r="F17" s="516"/>
      <c r="G17" s="516"/>
      <c r="H17" s="516"/>
      <c r="I17" s="516"/>
      <c r="J17" s="516"/>
      <c r="L17" s="93"/>
    </row>
    <row r="18" spans="1:12" ht="15" customHeight="1" thickBot="1" x14ac:dyDescent="0.2">
      <c r="A18" s="517"/>
      <c r="B18" s="517"/>
      <c r="C18" s="517"/>
      <c r="D18" s="517"/>
      <c r="E18" s="517"/>
      <c r="F18" s="517"/>
      <c r="G18" s="517"/>
      <c r="H18" s="517"/>
      <c r="I18" s="517"/>
      <c r="J18" s="517"/>
      <c r="L18" s="91"/>
    </row>
    <row r="19" spans="1:12" ht="32.1" customHeight="1" thickBot="1" x14ac:dyDescent="0.2">
      <c r="A19" s="807" t="s">
        <v>254</v>
      </c>
      <c r="B19" s="808"/>
      <c r="C19" s="808"/>
      <c r="D19" s="808"/>
      <c r="E19" s="808"/>
      <c r="F19" s="808"/>
      <c r="G19" s="808"/>
      <c r="H19" s="808"/>
      <c r="I19" s="808"/>
      <c r="J19" s="809"/>
    </row>
    <row r="20" spans="1:12" ht="34.5" customHeight="1" thickBot="1" x14ac:dyDescent="0.2">
      <c r="A20" s="322" t="s">
        <v>256</v>
      </c>
      <c r="B20" s="323" t="s">
        <v>257</v>
      </c>
      <c r="C20" s="323" t="s">
        <v>258</v>
      </c>
      <c r="D20" s="324" t="s">
        <v>259</v>
      </c>
      <c r="E20" s="325" t="s">
        <v>260</v>
      </c>
      <c r="F20" s="465" t="s">
        <v>261</v>
      </c>
      <c r="G20" s="327" t="s">
        <v>86</v>
      </c>
      <c r="H20" s="327" t="s">
        <v>262</v>
      </c>
      <c r="I20" s="465" t="s">
        <v>90</v>
      </c>
      <c r="J20" s="328" t="s">
        <v>263</v>
      </c>
    </row>
    <row r="21" spans="1:12" ht="18.75" customHeight="1" x14ac:dyDescent="0.15">
      <c r="A21" s="651"/>
      <c r="B21" s="473"/>
      <c r="C21" s="473"/>
      <c r="D21" s="339"/>
      <c r="E21" s="340">
        <f>D21*A21</f>
        <v>0</v>
      </c>
      <c r="F21" s="467">
        <v>0.7</v>
      </c>
      <c r="G21" s="330">
        <f>E21*F21</f>
        <v>0</v>
      </c>
      <c r="H21" s="657">
        <f>E21</f>
        <v>0</v>
      </c>
      <c r="I21" s="658" t="str">
        <f>IFERROR(ROUND(((G21/Kalkulation!$K$31)*Kalkulation!$M$31)*20,0)/20,"")</f>
        <v/>
      </c>
      <c r="J21" s="654" t="s">
        <v>221</v>
      </c>
    </row>
    <row r="22" spans="1:12" ht="18.75" customHeight="1" x14ac:dyDescent="0.15">
      <c r="A22" s="472"/>
      <c r="B22" s="473"/>
      <c r="C22" s="473"/>
      <c r="D22" s="341"/>
      <c r="E22" s="342">
        <f>D22*A22</f>
        <v>0</v>
      </c>
      <c r="F22" s="331">
        <v>0.7</v>
      </c>
      <c r="G22" s="332">
        <f t="shared" ref="G22:G38" si="0">E22*F22</f>
        <v>0</v>
      </c>
      <c r="H22" s="657">
        <f>E22</f>
        <v>0</v>
      </c>
      <c r="I22" s="471" t="str">
        <f>IFERROR(ROUND(((G22/Kalkulation!$K$31)*Kalkulation!$M$31)*20,0)/20,"")</f>
        <v/>
      </c>
      <c r="J22" s="655" t="s">
        <v>221</v>
      </c>
      <c r="L22" s="343"/>
    </row>
    <row r="23" spans="1:12" ht="18.75" customHeight="1" x14ac:dyDescent="0.15">
      <c r="A23" s="472"/>
      <c r="B23" s="473"/>
      <c r="C23" s="473"/>
      <c r="D23" s="341"/>
      <c r="E23" s="342">
        <f>D23*A23</f>
        <v>0</v>
      </c>
      <c r="F23" s="331">
        <v>0.7</v>
      </c>
      <c r="G23" s="332">
        <f>E23*F23</f>
        <v>0</v>
      </c>
      <c r="H23" s="657">
        <f t="shared" ref="H23:H38" si="1">E23</f>
        <v>0</v>
      </c>
      <c r="I23" s="471" t="str">
        <f>IFERROR(ROUND(((G23/Kalkulation!$K$31)*Kalkulation!$M$31)*20,0)/20,"")</f>
        <v/>
      </c>
      <c r="J23" s="655" t="s">
        <v>221</v>
      </c>
      <c r="L23" s="343"/>
    </row>
    <row r="24" spans="1:12" ht="18.75" customHeight="1" x14ac:dyDescent="0.15">
      <c r="A24" s="472"/>
      <c r="B24" s="473"/>
      <c r="C24" s="473"/>
      <c r="D24" s="341"/>
      <c r="E24" s="342">
        <f>D24*A24</f>
        <v>0</v>
      </c>
      <c r="F24" s="331">
        <v>0.7</v>
      </c>
      <c r="G24" s="332">
        <f t="shared" si="0"/>
        <v>0</v>
      </c>
      <c r="H24" s="657">
        <f t="shared" si="1"/>
        <v>0</v>
      </c>
      <c r="I24" s="471" t="str">
        <f>IFERROR(ROUND(((G24/Kalkulation!$K$31)*Kalkulation!$M$31)*20,0)/20,"")</f>
        <v/>
      </c>
      <c r="J24" s="655" t="s">
        <v>221</v>
      </c>
      <c r="L24" s="343"/>
    </row>
    <row r="25" spans="1:12" ht="18.75" customHeight="1" x14ac:dyDescent="0.15">
      <c r="A25" s="472"/>
      <c r="B25" s="473"/>
      <c r="C25" s="473"/>
      <c r="D25" s="341"/>
      <c r="E25" s="342">
        <f>D25*A25</f>
        <v>0</v>
      </c>
      <c r="F25" s="331">
        <v>0.7</v>
      </c>
      <c r="G25" s="332">
        <f t="shared" si="0"/>
        <v>0</v>
      </c>
      <c r="H25" s="657">
        <f t="shared" si="1"/>
        <v>0</v>
      </c>
      <c r="I25" s="471" t="str">
        <f>IFERROR(ROUND(((G25/Kalkulation!$K$31)*Kalkulation!$M$31)*20,0)/20,"")</f>
        <v/>
      </c>
      <c r="J25" s="655" t="s">
        <v>221</v>
      </c>
      <c r="L25" s="343"/>
    </row>
    <row r="26" spans="1:12" ht="18.75" customHeight="1" x14ac:dyDescent="0.15">
      <c r="A26" s="472"/>
      <c r="B26" s="473"/>
      <c r="C26" s="473"/>
      <c r="D26" s="341"/>
      <c r="E26" s="342">
        <f t="shared" ref="E26:E32" si="2">D26*A26</f>
        <v>0</v>
      </c>
      <c r="F26" s="331">
        <v>0.7</v>
      </c>
      <c r="G26" s="332">
        <f t="shared" si="0"/>
        <v>0</v>
      </c>
      <c r="H26" s="657">
        <f t="shared" si="1"/>
        <v>0</v>
      </c>
      <c r="I26" s="471" t="str">
        <f>IFERROR(ROUND(((G26/Kalkulation!$K$31)*Kalkulation!$M$31)*20,0)/20,"")</f>
        <v/>
      </c>
      <c r="J26" s="655" t="s">
        <v>221</v>
      </c>
      <c r="L26" s="343"/>
    </row>
    <row r="27" spans="1:12" ht="18.75" customHeight="1" x14ac:dyDescent="0.15">
      <c r="A27" s="472"/>
      <c r="B27" s="473"/>
      <c r="C27" s="473"/>
      <c r="D27" s="341"/>
      <c r="E27" s="342">
        <f t="shared" si="2"/>
        <v>0</v>
      </c>
      <c r="F27" s="331">
        <v>0.7</v>
      </c>
      <c r="G27" s="332">
        <f>E27*F27</f>
        <v>0</v>
      </c>
      <c r="H27" s="657">
        <f t="shared" si="1"/>
        <v>0</v>
      </c>
      <c r="I27" s="471" t="str">
        <f>IFERROR(ROUND(((G27/Kalkulation!$K$31)*Kalkulation!$M$31)*20,0)/20,"")</f>
        <v/>
      </c>
      <c r="J27" s="655" t="s">
        <v>221</v>
      </c>
      <c r="L27" s="343"/>
    </row>
    <row r="28" spans="1:12" ht="18.75" customHeight="1" x14ac:dyDescent="0.15">
      <c r="A28" s="472"/>
      <c r="B28" s="473"/>
      <c r="C28" s="473"/>
      <c r="D28" s="341"/>
      <c r="E28" s="342">
        <f>D28*A28</f>
        <v>0</v>
      </c>
      <c r="F28" s="331">
        <v>0.7</v>
      </c>
      <c r="G28" s="332">
        <f>E28*F28</f>
        <v>0</v>
      </c>
      <c r="H28" s="657">
        <f t="shared" si="1"/>
        <v>0</v>
      </c>
      <c r="I28" s="471" t="str">
        <f>IFERROR(ROUND(((G28/Kalkulation!$K$31)*Kalkulation!$M$31)*20,0)/20,"")</f>
        <v/>
      </c>
      <c r="J28" s="655" t="s">
        <v>221</v>
      </c>
      <c r="L28" s="343"/>
    </row>
    <row r="29" spans="1:12" ht="18.75" customHeight="1" x14ac:dyDescent="0.15">
      <c r="A29" s="472"/>
      <c r="B29" s="473"/>
      <c r="C29" s="473"/>
      <c r="D29" s="341"/>
      <c r="E29" s="342">
        <f t="shared" si="2"/>
        <v>0</v>
      </c>
      <c r="F29" s="331">
        <v>0.7</v>
      </c>
      <c r="G29" s="332">
        <f t="shared" si="0"/>
        <v>0</v>
      </c>
      <c r="H29" s="657">
        <f t="shared" si="1"/>
        <v>0</v>
      </c>
      <c r="I29" s="471" t="str">
        <f>IFERROR(ROUND(((G29/Kalkulation!$K$31)*Kalkulation!$M$31)*20,0)/20,"")</f>
        <v/>
      </c>
      <c r="J29" s="655" t="s">
        <v>221</v>
      </c>
      <c r="K29" s="91"/>
    </row>
    <row r="30" spans="1:12" ht="18.75" customHeight="1" x14ac:dyDescent="0.15">
      <c r="A30" s="472"/>
      <c r="B30" s="473"/>
      <c r="C30" s="473"/>
      <c r="D30" s="341"/>
      <c r="E30" s="342">
        <f t="shared" si="2"/>
        <v>0</v>
      </c>
      <c r="F30" s="331">
        <v>0.7</v>
      </c>
      <c r="G30" s="332">
        <f t="shared" si="0"/>
        <v>0</v>
      </c>
      <c r="H30" s="657">
        <f t="shared" si="1"/>
        <v>0</v>
      </c>
      <c r="I30" s="471" t="str">
        <f>IFERROR(ROUND(((G30/Kalkulation!$K$31)*Kalkulation!$M$31)*20,0)/20,"")</f>
        <v/>
      </c>
      <c r="J30" s="655" t="s">
        <v>221</v>
      </c>
    </row>
    <row r="31" spans="1:12" ht="18.75" customHeight="1" x14ac:dyDescent="0.15">
      <c r="A31" s="472"/>
      <c r="B31" s="473"/>
      <c r="C31" s="473"/>
      <c r="D31" s="341"/>
      <c r="E31" s="342">
        <f t="shared" si="2"/>
        <v>0</v>
      </c>
      <c r="F31" s="331">
        <v>0.7</v>
      </c>
      <c r="G31" s="332">
        <f t="shared" si="0"/>
        <v>0</v>
      </c>
      <c r="H31" s="657">
        <f t="shared" si="1"/>
        <v>0</v>
      </c>
      <c r="I31" s="471" t="str">
        <f>IFERROR(ROUND(((G31/Kalkulation!$K$31)*Kalkulation!$M$31)*20,0)/20,"")</f>
        <v/>
      </c>
      <c r="J31" s="655" t="s">
        <v>221</v>
      </c>
      <c r="K31" s="40"/>
    </row>
    <row r="32" spans="1:12" ht="18.75" customHeight="1" x14ac:dyDescent="0.15">
      <c r="A32" s="472"/>
      <c r="B32" s="473"/>
      <c r="C32" s="473"/>
      <c r="D32" s="341"/>
      <c r="E32" s="342">
        <f t="shared" si="2"/>
        <v>0</v>
      </c>
      <c r="F32" s="331">
        <v>0.7</v>
      </c>
      <c r="G32" s="332">
        <f>E32*F32</f>
        <v>0</v>
      </c>
      <c r="H32" s="657">
        <f t="shared" si="1"/>
        <v>0</v>
      </c>
      <c r="I32" s="471" t="str">
        <f>IFERROR(ROUND(((G32/Kalkulation!$K$31)*Kalkulation!$M$31)*20,0)/20,"")</f>
        <v/>
      </c>
      <c r="J32" s="655" t="s">
        <v>221</v>
      </c>
    </row>
    <row r="33" spans="1:12" ht="18.75" customHeight="1" x14ac:dyDescent="0.15">
      <c r="A33" s="472"/>
      <c r="B33" s="473"/>
      <c r="C33" s="473"/>
      <c r="D33" s="341"/>
      <c r="E33" s="342">
        <f t="shared" ref="E33:E38" si="3">D33*A33</f>
        <v>0</v>
      </c>
      <c r="F33" s="331">
        <v>0.7</v>
      </c>
      <c r="G33" s="332">
        <f>E33*F33</f>
        <v>0</v>
      </c>
      <c r="H33" s="657">
        <f t="shared" si="1"/>
        <v>0</v>
      </c>
      <c r="I33" s="471" t="str">
        <f>IFERROR(ROUND(((G33/Kalkulation!$K$31)*Kalkulation!$M$31)*20,0)/20,"")</f>
        <v/>
      </c>
      <c r="J33" s="655" t="s">
        <v>221</v>
      </c>
    </row>
    <row r="34" spans="1:12" ht="18.75" customHeight="1" x14ac:dyDescent="0.15">
      <c r="A34" s="472"/>
      <c r="B34" s="473"/>
      <c r="C34" s="473"/>
      <c r="D34" s="341"/>
      <c r="E34" s="342">
        <f t="shared" si="3"/>
        <v>0</v>
      </c>
      <c r="F34" s="331">
        <v>0.7</v>
      </c>
      <c r="G34" s="332">
        <f>E34*F34</f>
        <v>0</v>
      </c>
      <c r="H34" s="657">
        <f t="shared" si="1"/>
        <v>0</v>
      </c>
      <c r="I34" s="471" t="str">
        <f>IFERROR(ROUND(((G34/Kalkulation!$K$31)*Kalkulation!$M$31)*20,0)/20,"")</f>
        <v/>
      </c>
      <c r="J34" s="655" t="s">
        <v>221</v>
      </c>
      <c r="K34" s="91"/>
    </row>
    <row r="35" spans="1:12" ht="18.75" customHeight="1" x14ac:dyDescent="0.15">
      <c r="A35" s="472"/>
      <c r="B35" s="473"/>
      <c r="C35" s="473"/>
      <c r="D35" s="341"/>
      <c r="E35" s="342">
        <f t="shared" si="3"/>
        <v>0</v>
      </c>
      <c r="F35" s="331">
        <v>0.7</v>
      </c>
      <c r="G35" s="332">
        <f t="shared" si="0"/>
        <v>0</v>
      </c>
      <c r="H35" s="657">
        <f t="shared" si="1"/>
        <v>0</v>
      </c>
      <c r="I35" s="471" t="str">
        <f>IFERROR(ROUND(((G35/Kalkulation!$K$31)*Kalkulation!$M$31)*20,0)/20,"")</f>
        <v/>
      </c>
      <c r="J35" s="655" t="s">
        <v>221</v>
      </c>
    </row>
    <row r="36" spans="1:12" ht="18.75" customHeight="1" x14ac:dyDescent="0.15">
      <c r="A36" s="472"/>
      <c r="B36" s="473"/>
      <c r="C36" s="473"/>
      <c r="D36" s="341"/>
      <c r="E36" s="342">
        <f t="shared" si="3"/>
        <v>0</v>
      </c>
      <c r="F36" s="331">
        <v>0.7</v>
      </c>
      <c r="G36" s="332">
        <f t="shared" si="0"/>
        <v>0</v>
      </c>
      <c r="H36" s="657">
        <f t="shared" si="1"/>
        <v>0</v>
      </c>
      <c r="I36" s="471" t="str">
        <f>IFERROR(ROUND(((G36/Kalkulation!$K$31)*Kalkulation!$M$31)*20,0)/20,"")</f>
        <v/>
      </c>
      <c r="J36" s="655" t="s">
        <v>221</v>
      </c>
      <c r="K36" s="127"/>
    </row>
    <row r="37" spans="1:12" ht="18.75" customHeight="1" x14ac:dyDescent="0.15">
      <c r="A37" s="472"/>
      <c r="B37" s="473"/>
      <c r="C37" s="473"/>
      <c r="D37" s="341"/>
      <c r="E37" s="342">
        <f t="shared" si="3"/>
        <v>0</v>
      </c>
      <c r="F37" s="331">
        <v>0.7</v>
      </c>
      <c r="G37" s="333">
        <f t="shared" si="0"/>
        <v>0</v>
      </c>
      <c r="H37" s="657">
        <f t="shared" si="1"/>
        <v>0</v>
      </c>
      <c r="I37" s="471" t="str">
        <f>IFERROR(ROUND(((G37/Kalkulation!$K$31)*Kalkulation!$M$31)*20,0)/20,"")</f>
        <v/>
      </c>
      <c r="J37" s="655" t="s">
        <v>221</v>
      </c>
      <c r="K37" s="127"/>
    </row>
    <row r="38" spans="1:12" ht="18.75" customHeight="1" thickBot="1" x14ac:dyDescent="0.2">
      <c r="A38" s="476"/>
      <c r="B38" s="477"/>
      <c r="C38" s="477"/>
      <c r="D38" s="344"/>
      <c r="E38" s="345">
        <f t="shared" si="3"/>
        <v>0</v>
      </c>
      <c r="F38" s="468">
        <v>0.7</v>
      </c>
      <c r="G38" s="334">
        <f t="shared" si="0"/>
        <v>0</v>
      </c>
      <c r="H38" s="657">
        <f t="shared" si="1"/>
        <v>0</v>
      </c>
      <c r="I38" s="659" t="str">
        <f>IFERROR(ROUND(((G38/Kalkulation!$K$31)*Kalkulation!$M$31)*20,0)/20,"")</f>
        <v/>
      </c>
      <c r="J38" s="656" t="s">
        <v>221</v>
      </c>
      <c r="K38" s="127"/>
    </row>
    <row r="39" spans="1:12" ht="21.6" customHeight="1" thickBot="1" x14ac:dyDescent="0.2">
      <c r="A39" s="346"/>
      <c r="B39" s="346"/>
      <c r="C39" s="335"/>
      <c r="D39" s="335" t="s">
        <v>283</v>
      </c>
      <c r="E39" s="336">
        <f>SUM(E21:E38)</f>
        <v>0</v>
      </c>
      <c r="F39" s="466"/>
      <c r="G39" s="337">
        <f>SUM(G21:G38)</f>
        <v>0</v>
      </c>
      <c r="H39" s="337">
        <f>SUM(H21:H38)</f>
        <v>0</v>
      </c>
      <c r="I39" s="338"/>
      <c r="J39" s="338"/>
      <c r="K39" s="127"/>
    </row>
    <row r="40" spans="1:12" ht="18" customHeight="1" thickBot="1" x14ac:dyDescent="0.2">
      <c r="A40" s="482"/>
      <c r="B40" s="518"/>
      <c r="C40" s="519"/>
      <c r="D40" s="520"/>
      <c r="E40" s="521"/>
      <c r="F40" s="522"/>
      <c r="G40" s="521"/>
      <c r="H40" s="521"/>
      <c r="I40" s="521"/>
      <c r="J40" s="523"/>
      <c r="K40" s="127"/>
    </row>
    <row r="41" spans="1:12" ht="32.1" customHeight="1" thickBot="1" x14ac:dyDescent="0.2">
      <c r="A41" s="807" t="s">
        <v>286</v>
      </c>
      <c r="B41" s="808"/>
      <c r="C41" s="808"/>
      <c r="D41" s="808"/>
      <c r="E41" s="808"/>
      <c r="F41" s="808"/>
      <c r="G41" s="808"/>
      <c r="H41" s="808"/>
      <c r="I41" s="808"/>
      <c r="J41" s="809"/>
    </row>
    <row r="42" spans="1:12" ht="34.5" customHeight="1" thickBot="1" x14ac:dyDescent="0.2">
      <c r="A42" s="524" t="s">
        <v>256</v>
      </c>
      <c r="B42" s="525" t="s">
        <v>257</v>
      </c>
      <c r="C42" s="525" t="s">
        <v>258</v>
      </c>
      <c r="D42" s="526" t="s">
        <v>259</v>
      </c>
      <c r="E42" s="527" t="s">
        <v>260</v>
      </c>
      <c r="F42" s="326" t="s">
        <v>85</v>
      </c>
      <c r="G42" s="528" t="s">
        <v>86</v>
      </c>
      <c r="H42" s="528" t="s">
        <v>262</v>
      </c>
      <c r="I42" s="660" t="s">
        <v>90</v>
      </c>
      <c r="J42" s="529" t="s">
        <v>263</v>
      </c>
    </row>
    <row r="43" spans="1:12" ht="18.75" customHeight="1" x14ac:dyDescent="0.15">
      <c r="A43" s="651"/>
      <c r="B43" s="473"/>
      <c r="C43" s="473"/>
      <c r="D43" s="339"/>
      <c r="E43" s="340">
        <f>D43*A43</f>
        <v>0</v>
      </c>
      <c r="F43" s="329">
        <v>0.7</v>
      </c>
      <c r="G43" s="469">
        <f>E43*F43</f>
        <v>0</v>
      </c>
      <c r="H43" s="657">
        <f t="shared" ref="H43:H56" si="4">E43</f>
        <v>0</v>
      </c>
      <c r="I43" s="658" t="str">
        <f>IFERROR(ROUND(((G43/Kalkulation!$K$38)*Kalkulation!$M$39)*20,0)/20,"")</f>
        <v/>
      </c>
      <c r="J43" s="654" t="s">
        <v>222</v>
      </c>
    </row>
    <row r="44" spans="1:12" ht="18.75" customHeight="1" x14ac:dyDescent="0.15">
      <c r="A44" s="472"/>
      <c r="B44" s="473"/>
      <c r="C44" s="473"/>
      <c r="D44" s="341"/>
      <c r="E44" s="342">
        <f t="shared" ref="E44:E56" si="5">D44*A44</f>
        <v>0</v>
      </c>
      <c r="F44" s="329">
        <v>0.7</v>
      </c>
      <c r="G44" s="470">
        <f t="shared" ref="G44:G56" si="6">E44*F44</f>
        <v>0</v>
      </c>
      <c r="H44" s="657">
        <f t="shared" si="4"/>
        <v>0</v>
      </c>
      <c r="I44" s="471" t="str">
        <f>IFERROR(ROUND(((G44/Kalkulation!$K$38)*Kalkulation!$M$39)*20,0)/20,"")</f>
        <v/>
      </c>
      <c r="J44" s="655" t="s">
        <v>222</v>
      </c>
      <c r="L44" s="295"/>
    </row>
    <row r="45" spans="1:12" ht="18.75" customHeight="1" x14ac:dyDescent="0.15">
      <c r="A45" s="472"/>
      <c r="B45" s="473"/>
      <c r="C45" s="473"/>
      <c r="D45" s="341"/>
      <c r="E45" s="342">
        <f t="shared" si="5"/>
        <v>0</v>
      </c>
      <c r="F45" s="329">
        <v>0.7</v>
      </c>
      <c r="G45" s="470">
        <f t="shared" si="6"/>
        <v>0</v>
      </c>
      <c r="H45" s="657">
        <f t="shared" si="4"/>
        <v>0</v>
      </c>
      <c r="I45" s="471" t="str">
        <f>IFERROR(ROUND(((G45/Kalkulation!$K$38)*Kalkulation!$M$39)*20,0)/20,"")</f>
        <v/>
      </c>
      <c r="J45" s="655" t="s">
        <v>222</v>
      </c>
    </row>
    <row r="46" spans="1:12" ht="18.75" customHeight="1" x14ac:dyDescent="0.15">
      <c r="A46" s="472"/>
      <c r="B46" s="473"/>
      <c r="C46" s="473"/>
      <c r="D46" s="474"/>
      <c r="E46" s="342">
        <f t="shared" si="5"/>
        <v>0</v>
      </c>
      <c r="F46" s="329">
        <v>0.7</v>
      </c>
      <c r="G46" s="470">
        <f t="shared" si="6"/>
        <v>0</v>
      </c>
      <c r="H46" s="657">
        <f t="shared" si="4"/>
        <v>0</v>
      </c>
      <c r="I46" s="471" t="str">
        <f>IFERROR(ROUND(((G46/Kalkulation!$K$38)*Kalkulation!$M$39)*20,0)/20,"")</f>
        <v/>
      </c>
      <c r="J46" s="655" t="s">
        <v>222</v>
      </c>
    </row>
    <row r="47" spans="1:12" ht="18.75" customHeight="1" x14ac:dyDescent="0.15">
      <c r="A47" s="472"/>
      <c r="B47" s="473"/>
      <c r="C47" s="473"/>
      <c r="D47" s="474"/>
      <c r="E47" s="342">
        <f t="shared" si="5"/>
        <v>0</v>
      </c>
      <c r="F47" s="329">
        <v>0.7</v>
      </c>
      <c r="G47" s="470">
        <f t="shared" si="6"/>
        <v>0</v>
      </c>
      <c r="H47" s="657">
        <f t="shared" si="4"/>
        <v>0</v>
      </c>
      <c r="I47" s="471" t="str">
        <f>IFERROR(ROUND(((G47/Kalkulation!$K$38)*Kalkulation!$M$39)*20,0)/20,"")</f>
        <v/>
      </c>
      <c r="J47" s="655" t="s">
        <v>222</v>
      </c>
      <c r="K47" s="91"/>
    </row>
    <row r="48" spans="1:12" ht="18.75" customHeight="1" x14ac:dyDescent="0.15">
      <c r="A48" s="472"/>
      <c r="B48" s="473"/>
      <c r="C48" s="473"/>
      <c r="D48" s="474"/>
      <c r="E48" s="342">
        <f t="shared" si="5"/>
        <v>0</v>
      </c>
      <c r="F48" s="329">
        <v>0.7</v>
      </c>
      <c r="G48" s="470">
        <f t="shared" si="6"/>
        <v>0</v>
      </c>
      <c r="H48" s="657">
        <f t="shared" si="4"/>
        <v>0</v>
      </c>
      <c r="I48" s="471" t="str">
        <f>IFERROR(ROUND(((G48/Kalkulation!$K$38)*Kalkulation!$M$39)*20,0)/20,"")</f>
        <v/>
      </c>
      <c r="J48" s="655" t="s">
        <v>222</v>
      </c>
      <c r="K48" s="40"/>
    </row>
    <row r="49" spans="1:12" ht="18.75" customHeight="1" x14ac:dyDescent="0.15">
      <c r="A49" s="472"/>
      <c r="B49" s="473"/>
      <c r="C49" s="473"/>
      <c r="D49" s="474"/>
      <c r="E49" s="342">
        <f t="shared" si="5"/>
        <v>0</v>
      </c>
      <c r="F49" s="329">
        <v>0.7</v>
      </c>
      <c r="G49" s="470">
        <f t="shared" si="6"/>
        <v>0</v>
      </c>
      <c r="H49" s="657">
        <f t="shared" si="4"/>
        <v>0</v>
      </c>
      <c r="I49" s="471" t="str">
        <f>IFERROR(ROUND(((G49/Kalkulation!$K$38)*Kalkulation!$M$39)*20,0)/20,"")</f>
        <v/>
      </c>
      <c r="J49" s="655" t="s">
        <v>222</v>
      </c>
      <c r="K49" s="40"/>
    </row>
    <row r="50" spans="1:12" ht="18.75" customHeight="1" x14ac:dyDescent="0.15">
      <c r="A50" s="472"/>
      <c r="B50" s="473"/>
      <c r="C50" s="473"/>
      <c r="D50" s="474"/>
      <c r="E50" s="342">
        <f t="shared" si="5"/>
        <v>0</v>
      </c>
      <c r="F50" s="329">
        <v>0.7</v>
      </c>
      <c r="G50" s="470">
        <f t="shared" si="6"/>
        <v>0</v>
      </c>
      <c r="H50" s="657">
        <f t="shared" si="4"/>
        <v>0</v>
      </c>
      <c r="I50" s="471" t="str">
        <f>IFERROR(ROUND(((G50/Kalkulation!$K$38)*Kalkulation!$M$39)*20,0)/20,"")</f>
        <v/>
      </c>
      <c r="J50" s="655" t="s">
        <v>222</v>
      </c>
      <c r="K50" s="127"/>
    </row>
    <row r="51" spans="1:12" ht="18.75" customHeight="1" x14ac:dyDescent="0.15">
      <c r="A51" s="472"/>
      <c r="B51" s="473"/>
      <c r="C51" s="473"/>
      <c r="D51" s="474"/>
      <c r="E51" s="342">
        <f t="shared" si="5"/>
        <v>0</v>
      </c>
      <c r="F51" s="329">
        <v>0.7</v>
      </c>
      <c r="G51" s="470">
        <f t="shared" si="6"/>
        <v>0</v>
      </c>
      <c r="H51" s="657">
        <f t="shared" si="4"/>
        <v>0</v>
      </c>
      <c r="I51" s="471" t="str">
        <f>IFERROR(ROUND(((G51/Kalkulation!$K$38)*Kalkulation!$M$39)*20,0)/20,"")</f>
        <v/>
      </c>
      <c r="J51" s="655" t="s">
        <v>222</v>
      </c>
    </row>
    <row r="52" spans="1:12" ht="18.75" customHeight="1" x14ac:dyDescent="0.15">
      <c r="A52" s="472"/>
      <c r="B52" s="473"/>
      <c r="C52" s="473"/>
      <c r="D52" s="474"/>
      <c r="E52" s="342">
        <f>D52*A52</f>
        <v>0</v>
      </c>
      <c r="F52" s="329">
        <v>0.7</v>
      </c>
      <c r="G52" s="470">
        <f t="shared" si="6"/>
        <v>0</v>
      </c>
      <c r="H52" s="657">
        <f t="shared" si="4"/>
        <v>0</v>
      </c>
      <c r="I52" s="471" t="str">
        <f>IFERROR(ROUND(((G52/Kalkulation!$K$38)*Kalkulation!$M$39)*20,0)/20,"")</f>
        <v/>
      </c>
      <c r="J52" s="655" t="s">
        <v>222</v>
      </c>
      <c r="K52" s="127"/>
    </row>
    <row r="53" spans="1:12" ht="18.75" customHeight="1" x14ac:dyDescent="0.15">
      <c r="A53" s="472"/>
      <c r="B53" s="473"/>
      <c r="C53" s="473"/>
      <c r="D53" s="474"/>
      <c r="E53" s="342">
        <f>D53*A53</f>
        <v>0</v>
      </c>
      <c r="F53" s="329">
        <v>0.7</v>
      </c>
      <c r="G53" s="470">
        <f t="shared" si="6"/>
        <v>0</v>
      </c>
      <c r="H53" s="657">
        <f t="shared" si="4"/>
        <v>0</v>
      </c>
      <c r="I53" s="471" t="str">
        <f>IFERROR(ROUND(((G53/Kalkulation!$K$38)*Kalkulation!$M$39)*20,0)/20,"")</f>
        <v/>
      </c>
      <c r="J53" s="655" t="s">
        <v>222</v>
      </c>
    </row>
    <row r="54" spans="1:12" ht="18.75" customHeight="1" x14ac:dyDescent="0.15">
      <c r="A54" s="472"/>
      <c r="B54" s="473"/>
      <c r="C54" s="473"/>
      <c r="D54" s="474"/>
      <c r="E54" s="342">
        <f>D54*A54</f>
        <v>0</v>
      </c>
      <c r="F54" s="329">
        <v>0.7</v>
      </c>
      <c r="G54" s="470">
        <f t="shared" si="6"/>
        <v>0</v>
      </c>
      <c r="H54" s="657">
        <f t="shared" si="4"/>
        <v>0</v>
      </c>
      <c r="I54" s="471" t="str">
        <f>IFERROR(ROUND(((G54/Kalkulation!$K$38)*Kalkulation!$M$39)*20,0)/20,"")</f>
        <v/>
      </c>
      <c r="J54" s="655" t="s">
        <v>222</v>
      </c>
      <c r="K54" s="127"/>
    </row>
    <row r="55" spans="1:12" ht="18.75" customHeight="1" x14ac:dyDescent="0.15">
      <c r="A55" s="472"/>
      <c r="B55" s="473"/>
      <c r="C55" s="473"/>
      <c r="D55" s="474"/>
      <c r="E55" s="342">
        <f t="shared" si="5"/>
        <v>0</v>
      </c>
      <c r="F55" s="329">
        <v>0.7</v>
      </c>
      <c r="G55" s="475">
        <f t="shared" si="6"/>
        <v>0</v>
      </c>
      <c r="H55" s="657">
        <f t="shared" si="4"/>
        <v>0</v>
      </c>
      <c r="I55" s="471" t="str">
        <f>IFERROR(ROUND(((G55/Kalkulation!$K$38)*Kalkulation!$M$39)*20,0)/20,"")</f>
        <v/>
      </c>
      <c r="J55" s="655" t="s">
        <v>222</v>
      </c>
      <c r="K55" s="127"/>
    </row>
    <row r="56" spans="1:12" ht="18.75" customHeight="1" thickBot="1" x14ac:dyDescent="0.2">
      <c r="A56" s="476"/>
      <c r="B56" s="477"/>
      <c r="C56" s="477"/>
      <c r="D56" s="478"/>
      <c r="E56" s="345">
        <f t="shared" si="5"/>
        <v>0</v>
      </c>
      <c r="F56" s="329">
        <v>0.7</v>
      </c>
      <c r="G56" s="479">
        <f t="shared" si="6"/>
        <v>0</v>
      </c>
      <c r="H56" s="657">
        <f t="shared" si="4"/>
        <v>0</v>
      </c>
      <c r="I56" s="659" t="str">
        <f>IFERROR(ROUND(((G56/Kalkulation!$K$38)*Kalkulation!$M$39)*20,0)/20,"")</f>
        <v/>
      </c>
      <c r="J56" s="655" t="s">
        <v>222</v>
      </c>
      <c r="K56" s="127"/>
    </row>
    <row r="57" spans="1:12" ht="21.6" customHeight="1" thickBot="1" x14ac:dyDescent="0.2">
      <c r="A57" s="346"/>
      <c r="B57" s="346"/>
      <c r="C57" s="335"/>
      <c r="D57" s="335" t="s">
        <v>288</v>
      </c>
      <c r="E57" s="336">
        <f>SUM(E43:E56)</f>
        <v>0</v>
      </c>
      <c r="F57" s="530"/>
      <c r="G57" s="337">
        <f>SUM(G43:G56)</f>
        <v>0</v>
      </c>
      <c r="H57" s="337">
        <f>SUM(H43:H56)</f>
        <v>0</v>
      </c>
      <c r="I57" s="338"/>
      <c r="J57" s="338"/>
      <c r="K57" s="127"/>
    </row>
    <row r="58" spans="1:12" ht="18" customHeight="1" thickBot="1" x14ac:dyDescent="0.2">
      <c r="A58" s="346"/>
      <c r="B58" s="531"/>
      <c r="C58" s="532"/>
      <c r="D58" s="533"/>
      <c r="E58" s="534"/>
      <c r="F58" s="534"/>
      <c r="G58" s="534"/>
      <c r="H58" s="534"/>
      <c r="I58" s="534"/>
      <c r="J58" s="338"/>
      <c r="K58" s="127"/>
    </row>
    <row r="59" spans="1:12" ht="32.1" customHeight="1" thickBot="1" x14ac:dyDescent="0.2">
      <c r="A59" s="811" t="s">
        <v>289</v>
      </c>
      <c r="B59" s="812"/>
      <c r="C59" s="812"/>
      <c r="D59" s="812"/>
      <c r="E59" s="812"/>
      <c r="F59" s="812"/>
      <c r="G59" s="812"/>
      <c r="H59" s="812"/>
      <c r="I59" s="812"/>
      <c r="J59" s="813"/>
    </row>
    <row r="60" spans="1:12" ht="34.5" customHeight="1" thickBot="1" x14ac:dyDescent="0.2">
      <c r="A60" s="535" t="s">
        <v>147</v>
      </c>
      <c r="B60" s="536" t="s">
        <v>257</v>
      </c>
      <c r="C60" s="804" t="s">
        <v>258</v>
      </c>
      <c r="D60" s="805"/>
      <c r="E60" s="805"/>
      <c r="F60" s="806"/>
      <c r="G60" s="537" t="s">
        <v>148</v>
      </c>
      <c r="H60" s="538" t="s">
        <v>101</v>
      </c>
      <c r="I60" s="667" t="s">
        <v>90</v>
      </c>
      <c r="J60" s="539" t="s">
        <v>263</v>
      </c>
    </row>
    <row r="61" spans="1:12" ht="18.75" customHeight="1" x14ac:dyDescent="0.15">
      <c r="A61" s="540"/>
      <c r="B61" s="541"/>
      <c r="C61" s="652"/>
      <c r="D61" s="542"/>
      <c r="E61" s="542"/>
      <c r="F61" s="543"/>
      <c r="G61" s="544"/>
      <c r="H61" s="661">
        <f t="shared" ref="H61:H70" si="7">G61*A61</f>
        <v>0</v>
      </c>
      <c r="I61" s="658" t="str">
        <f>IFERROR(ROUND(((G61/$H$71)*Kalkulation!$M$51)*20,0)/20,"")</f>
        <v/>
      </c>
      <c r="J61" s="665" t="s">
        <v>223</v>
      </c>
    </row>
    <row r="62" spans="1:12" ht="18.75" customHeight="1" x14ac:dyDescent="0.15">
      <c r="A62" s="545"/>
      <c r="B62" s="473"/>
      <c r="C62" s="653"/>
      <c r="D62" s="546"/>
      <c r="E62" s="546"/>
      <c r="F62" s="547"/>
      <c r="G62" s="548"/>
      <c r="H62" s="662">
        <f t="shared" si="7"/>
        <v>0</v>
      </c>
      <c r="I62" s="471" t="str">
        <f>IFERROR(ROUND(((G62/$H$71)*Kalkulation!$M$51)*20,0)/20,"")</f>
        <v/>
      </c>
      <c r="J62" s="666"/>
      <c r="L62" s="295"/>
    </row>
    <row r="63" spans="1:12" ht="18.75" customHeight="1" x14ac:dyDescent="0.15">
      <c r="A63" s="545"/>
      <c r="B63" s="473"/>
      <c r="C63" s="653"/>
      <c r="D63" s="546"/>
      <c r="E63" s="546"/>
      <c r="F63" s="547"/>
      <c r="G63" s="548"/>
      <c r="H63" s="662">
        <f t="shared" si="7"/>
        <v>0</v>
      </c>
      <c r="I63" s="471" t="str">
        <f>IFERROR(ROUND(((G63/$H$71)*Kalkulation!$M$51)*20,0)/20,"")</f>
        <v/>
      </c>
      <c r="J63" s="666"/>
    </row>
    <row r="64" spans="1:12" ht="18.75" customHeight="1" x14ac:dyDescent="0.15">
      <c r="A64" s="545"/>
      <c r="B64" s="473"/>
      <c r="C64" s="653"/>
      <c r="D64" s="546"/>
      <c r="E64" s="546"/>
      <c r="F64" s="547"/>
      <c r="G64" s="548"/>
      <c r="H64" s="662">
        <f t="shared" si="7"/>
        <v>0</v>
      </c>
      <c r="I64" s="471" t="str">
        <f>IFERROR(ROUND(((G64/$H$71)*Kalkulation!$M$51)*20,0)/20,"")</f>
        <v/>
      </c>
      <c r="J64" s="666"/>
    </row>
    <row r="65" spans="1:15" ht="18.75" customHeight="1" x14ac:dyDescent="0.15">
      <c r="A65" s="545"/>
      <c r="B65" s="473"/>
      <c r="C65" s="653"/>
      <c r="D65" s="546"/>
      <c r="E65" s="546"/>
      <c r="F65" s="547"/>
      <c r="G65" s="548"/>
      <c r="H65" s="662">
        <f t="shared" si="7"/>
        <v>0</v>
      </c>
      <c r="I65" s="471" t="str">
        <f>IFERROR(ROUND(((G65/$H$71)*Kalkulation!$M$51)*20,0)/20,"")</f>
        <v/>
      </c>
      <c r="J65" s="666"/>
    </row>
    <row r="66" spans="1:15" ht="18.75" customHeight="1" x14ac:dyDescent="0.15">
      <c r="A66" s="545"/>
      <c r="B66" s="473"/>
      <c r="C66" s="653"/>
      <c r="D66" s="546"/>
      <c r="E66" s="546"/>
      <c r="F66" s="547"/>
      <c r="G66" s="548"/>
      <c r="H66" s="662">
        <f t="shared" si="7"/>
        <v>0</v>
      </c>
      <c r="I66" s="471" t="str">
        <f>IFERROR(ROUND(((G66/$H$71)*Kalkulation!$M$51)*20,0)/20,"")</f>
        <v/>
      </c>
      <c r="J66" s="666"/>
    </row>
    <row r="67" spans="1:15" ht="18.75" customHeight="1" x14ac:dyDescent="0.15">
      <c r="A67" s="545"/>
      <c r="B67" s="473"/>
      <c r="C67" s="653"/>
      <c r="D67" s="546"/>
      <c r="E67" s="546"/>
      <c r="F67" s="547"/>
      <c r="G67" s="548"/>
      <c r="H67" s="662">
        <f t="shared" si="7"/>
        <v>0</v>
      </c>
      <c r="I67" s="471" t="str">
        <f>IFERROR(ROUND(((G67/$H$71)*Kalkulation!$M$51)*20,0)/20,"")</f>
        <v/>
      </c>
      <c r="J67" s="666"/>
      <c r="K67" s="91"/>
    </row>
    <row r="68" spans="1:15" ht="18.75" customHeight="1" x14ac:dyDescent="0.15">
      <c r="A68" s="545"/>
      <c r="B68" s="473"/>
      <c r="C68" s="653"/>
      <c r="D68" s="546"/>
      <c r="E68" s="546"/>
      <c r="F68" s="547"/>
      <c r="G68" s="548"/>
      <c r="H68" s="662">
        <f t="shared" si="7"/>
        <v>0</v>
      </c>
      <c r="I68" s="471" t="str">
        <f>IFERROR(ROUND(((G68/$H$71)*Kalkulation!$M$51)*20,0)/20,"")</f>
        <v/>
      </c>
      <c r="J68" s="666"/>
      <c r="K68" s="127"/>
    </row>
    <row r="69" spans="1:15" ht="18.75" customHeight="1" x14ac:dyDescent="0.15">
      <c r="A69" s="549"/>
      <c r="B69" s="473"/>
      <c r="C69" s="653"/>
      <c r="D69" s="546"/>
      <c r="E69" s="546"/>
      <c r="F69" s="547"/>
      <c r="G69" s="550"/>
      <c r="H69" s="663">
        <f t="shared" si="7"/>
        <v>0</v>
      </c>
      <c r="I69" s="471" t="str">
        <f>IFERROR(ROUND(((G69/$H$71)*Kalkulation!$M$51)*20,0)/20,"")</f>
        <v/>
      </c>
      <c r="J69" s="666"/>
      <c r="K69" s="127"/>
    </row>
    <row r="70" spans="1:15" ht="18.75" customHeight="1" thickBot="1" x14ac:dyDescent="0.2">
      <c r="A70" s="551"/>
      <c r="B70" s="477"/>
      <c r="C70" s="653"/>
      <c r="D70" s="546"/>
      <c r="E70" s="546"/>
      <c r="F70" s="547"/>
      <c r="G70" s="552"/>
      <c r="H70" s="664">
        <f t="shared" si="7"/>
        <v>0</v>
      </c>
      <c r="I70" s="659" t="str">
        <f>IFERROR(ROUND(((G70/$H$71)*Kalkulation!$M$51)*20,0)/20,"")</f>
        <v/>
      </c>
      <c r="J70" s="656"/>
      <c r="K70" s="127"/>
    </row>
    <row r="71" spans="1:15" ht="21.6" customHeight="1" thickBot="1" x14ac:dyDescent="0.2">
      <c r="A71" s="553">
        <f>SUM(A61:A70)</f>
        <v>0</v>
      </c>
      <c r="B71" s="346"/>
      <c r="C71" s="800" t="s">
        <v>290</v>
      </c>
      <c r="D71" s="801"/>
      <c r="E71" s="801"/>
      <c r="F71" s="801"/>
      <c r="G71" s="802"/>
      <c r="H71" s="553">
        <f>SUM(H61:H70)</f>
        <v>0</v>
      </c>
      <c r="I71" s="338"/>
      <c r="J71" s="338"/>
      <c r="K71" s="127"/>
    </row>
    <row r="72" spans="1:15" ht="24" customHeight="1" thickBot="1" x14ac:dyDescent="0.2">
      <c r="A72" s="482"/>
      <c r="B72" s="482"/>
      <c r="C72" s="519"/>
      <c r="D72" s="520"/>
      <c r="E72" s="521"/>
      <c r="F72" s="521"/>
      <c r="G72" s="521"/>
      <c r="H72" s="521"/>
      <c r="I72" s="521"/>
      <c r="J72" s="523"/>
      <c r="K72" s="127"/>
    </row>
    <row r="73" spans="1:15" ht="14.25" customHeight="1" thickBot="1" x14ac:dyDescent="0.2">
      <c r="A73" s="554" t="s">
        <v>291</v>
      </c>
      <c r="B73" s="555"/>
      <c r="C73" s="799"/>
      <c r="D73" s="799"/>
      <c r="E73" s="482"/>
      <c r="F73" s="482"/>
      <c r="G73" s="482"/>
      <c r="H73" s="482"/>
      <c r="I73" s="482"/>
      <c r="J73" s="482"/>
      <c r="K73" s="127"/>
    </row>
    <row r="74" spans="1:15" ht="3.6" customHeight="1" thickBot="1" x14ac:dyDescent="0.2">
      <c r="A74" s="556"/>
      <c r="B74" s="557"/>
      <c r="C74" s="558"/>
      <c r="D74" s="559"/>
      <c r="E74" s="560"/>
      <c r="F74" s="560"/>
      <c r="G74" s="560"/>
      <c r="H74" s="560"/>
      <c r="I74" s="560"/>
      <c r="J74" s="482"/>
      <c r="K74" s="127"/>
    </row>
    <row r="75" spans="1:15" ht="24" customHeight="1" thickBot="1" x14ac:dyDescent="0.2">
      <c r="A75" s="561" t="s">
        <v>215</v>
      </c>
      <c r="B75" s="562"/>
      <c r="C75" s="562"/>
      <c r="D75" s="563"/>
      <c r="E75" s="564"/>
      <c r="F75" s="564"/>
      <c r="G75" s="564"/>
      <c r="H75" s="564"/>
      <c r="I75" s="564"/>
      <c r="J75" s="564"/>
    </row>
    <row r="76" spans="1:15" ht="15.75" customHeight="1" x14ac:dyDescent="0.15">
      <c r="A76" s="358"/>
      <c r="B76" s="359"/>
      <c r="C76" s="359"/>
      <c r="D76" s="359"/>
      <c r="E76" s="359"/>
      <c r="F76" s="359"/>
      <c r="G76" s="359"/>
      <c r="H76" s="359"/>
      <c r="I76" s="359"/>
      <c r="J76" s="360"/>
      <c r="O76" s="312"/>
    </row>
    <row r="77" spans="1:15" ht="15.75" customHeight="1" x14ac:dyDescent="0.15">
      <c r="A77" s="361"/>
      <c r="B77" s="362"/>
      <c r="C77" s="362"/>
      <c r="D77" s="362"/>
      <c r="E77" s="362"/>
      <c r="F77" s="362"/>
      <c r="G77" s="362"/>
      <c r="H77" s="362"/>
      <c r="I77" s="362"/>
      <c r="J77" s="363"/>
      <c r="O77" s="312"/>
    </row>
    <row r="78" spans="1:15" ht="15.75" customHeight="1" x14ac:dyDescent="0.15">
      <c r="A78" s="361"/>
      <c r="B78" s="362"/>
      <c r="C78" s="362"/>
      <c r="D78" s="362"/>
      <c r="E78" s="362"/>
      <c r="F78" s="362"/>
      <c r="G78" s="362"/>
      <c r="H78" s="362"/>
      <c r="I78" s="362"/>
      <c r="J78" s="363"/>
    </row>
    <row r="79" spans="1:15" ht="15.75" customHeight="1" x14ac:dyDescent="0.15">
      <c r="A79" s="361"/>
      <c r="B79" s="362"/>
      <c r="C79" s="362"/>
      <c r="D79" s="362"/>
      <c r="E79" s="362"/>
      <c r="F79" s="362"/>
      <c r="G79" s="362"/>
      <c r="H79" s="362"/>
      <c r="I79" s="362"/>
      <c r="J79" s="363"/>
    </row>
    <row r="80" spans="1:15" ht="15.75" customHeight="1" x14ac:dyDescent="0.15">
      <c r="A80" s="361"/>
      <c r="B80" s="362"/>
      <c r="C80" s="362"/>
      <c r="D80" s="362"/>
      <c r="E80" s="362"/>
      <c r="F80" s="362"/>
      <c r="G80" s="362"/>
      <c r="H80" s="362"/>
      <c r="I80" s="362"/>
      <c r="J80" s="363"/>
    </row>
    <row r="81" spans="1:10" ht="15.75" customHeight="1" x14ac:dyDescent="0.15">
      <c r="A81" s="361"/>
      <c r="B81" s="362"/>
      <c r="C81" s="362"/>
      <c r="D81" s="362"/>
      <c r="E81" s="362"/>
      <c r="F81" s="362"/>
      <c r="G81" s="362"/>
      <c r="H81" s="362"/>
      <c r="I81" s="362"/>
      <c r="J81" s="363"/>
    </row>
    <row r="82" spans="1:10" ht="15.75" customHeight="1" x14ac:dyDescent="0.15">
      <c r="A82" s="361"/>
      <c r="B82" s="362"/>
      <c r="C82" s="362"/>
      <c r="D82" s="362"/>
      <c r="E82" s="362"/>
      <c r="F82" s="362"/>
      <c r="G82" s="362"/>
      <c r="H82" s="362"/>
      <c r="I82" s="362"/>
      <c r="J82" s="363"/>
    </row>
    <row r="83" spans="1:10" ht="15.75" customHeight="1" x14ac:dyDescent="0.15">
      <c r="A83" s="361"/>
      <c r="B83" s="362"/>
      <c r="C83" s="362"/>
      <c r="D83" s="362"/>
      <c r="E83" s="362"/>
      <c r="F83" s="362"/>
      <c r="G83" s="362"/>
      <c r="H83" s="362"/>
      <c r="I83" s="362"/>
      <c r="J83" s="363"/>
    </row>
    <row r="84" spans="1:10" ht="16.5" customHeight="1" x14ac:dyDescent="0.15">
      <c r="A84" s="361"/>
      <c r="B84" s="362"/>
      <c r="C84" s="362"/>
      <c r="D84" s="362"/>
      <c r="E84" s="362"/>
      <c r="F84" s="362"/>
      <c r="G84" s="362"/>
      <c r="H84" s="362"/>
      <c r="I84" s="362"/>
      <c r="J84" s="363"/>
    </row>
    <row r="85" spans="1:10" ht="17.850000000000001" customHeight="1" x14ac:dyDescent="0.15">
      <c r="A85" s="361"/>
      <c r="B85" s="362"/>
      <c r="C85" s="362"/>
      <c r="D85" s="362"/>
      <c r="E85" s="362"/>
      <c r="F85" s="362"/>
      <c r="G85" s="362"/>
      <c r="H85" s="362"/>
      <c r="I85" s="362"/>
      <c r="J85" s="363"/>
    </row>
    <row r="86" spans="1:10" ht="12.75" customHeight="1" thickBot="1" x14ac:dyDescent="0.2">
      <c r="A86" s="364"/>
      <c r="B86" s="365"/>
      <c r="C86" s="365"/>
      <c r="D86" s="365"/>
      <c r="E86" s="365"/>
      <c r="F86" s="365"/>
      <c r="G86" s="365"/>
      <c r="H86" s="365"/>
      <c r="I86" s="365"/>
      <c r="J86" s="366"/>
    </row>
    <row r="87" spans="1:10" ht="12.75" customHeight="1" x14ac:dyDescent="0.15">
      <c r="A87" s="482"/>
      <c r="B87" s="482"/>
      <c r="C87" s="482"/>
      <c r="D87" s="482"/>
      <c r="E87" s="482"/>
      <c r="F87" s="482"/>
      <c r="G87" s="482"/>
      <c r="H87" s="482"/>
      <c r="I87" s="482"/>
      <c r="J87" s="482"/>
    </row>
    <row r="88" spans="1:10" ht="18" customHeight="1" x14ac:dyDescent="0.15">
      <c r="A88" s="501" t="s">
        <v>292</v>
      </c>
      <c r="B88" s="565"/>
      <c r="C88" s="482"/>
      <c r="D88" s="482"/>
      <c r="E88" s="482"/>
      <c r="F88" s="482"/>
      <c r="G88" s="482"/>
      <c r="H88" s="501" t="s">
        <v>293</v>
      </c>
      <c r="I88" s="565"/>
      <c r="J88" s="565"/>
    </row>
    <row r="89" spans="1:10" ht="12.75" customHeight="1" x14ac:dyDescent="0.15">
      <c r="A89" s="501"/>
      <c r="B89" s="566"/>
      <c r="C89" s="482"/>
      <c r="D89" s="482"/>
      <c r="E89" s="482"/>
      <c r="F89" s="482"/>
      <c r="G89" s="482"/>
      <c r="H89" s="501"/>
      <c r="I89" s="566"/>
      <c r="J89" s="482"/>
    </row>
    <row r="90" spans="1:10" ht="12.75" customHeight="1" x14ac:dyDescent="0.15">
      <c r="A90" s="501" t="s">
        <v>220</v>
      </c>
      <c r="B90" s="565"/>
      <c r="C90" s="482"/>
      <c r="D90" s="482"/>
      <c r="E90" s="482"/>
      <c r="F90" s="482"/>
      <c r="G90" s="482"/>
      <c r="H90" s="501" t="s">
        <v>220</v>
      </c>
      <c r="I90" s="565"/>
      <c r="J90" s="565"/>
    </row>
    <row r="91" spans="1:10" ht="12.75" customHeight="1" x14ac:dyDescent="0.15">
      <c r="A91" s="482"/>
      <c r="B91" s="482"/>
      <c r="C91" s="482"/>
      <c r="D91" s="482"/>
      <c r="E91" s="482"/>
      <c r="F91" s="482"/>
      <c r="G91" s="482"/>
      <c r="H91" s="482"/>
      <c r="I91" s="567" t="s">
        <v>294</v>
      </c>
      <c r="J91" s="482"/>
    </row>
  </sheetData>
  <sheetProtection sheet="1" objects="1" scenarios="1" formatCells="0" formatColumns="0" formatRows="0"/>
  <protectedRanges>
    <protectedRange sqref="H21:H38 H43:H56" name="Bereich1"/>
    <protectedRange sqref="H43:H56" name="Bereich2"/>
  </protectedRanges>
  <dataConsolidate/>
  <mergeCells count="23">
    <mergeCell ref="C73:D73"/>
    <mergeCell ref="C71:G71"/>
    <mergeCell ref="B7:C7"/>
    <mergeCell ref="D7:E7"/>
    <mergeCell ref="C60:F60"/>
    <mergeCell ref="A19:J19"/>
    <mergeCell ref="A15:B15"/>
    <mergeCell ref="C15:E15"/>
    <mergeCell ref="A41:J41"/>
    <mergeCell ref="A59:J59"/>
    <mergeCell ref="G15:I15"/>
    <mergeCell ref="A1:B1"/>
    <mergeCell ref="D1:E1"/>
    <mergeCell ref="A14:B14"/>
    <mergeCell ref="E5:J5"/>
    <mergeCell ref="A10:B10"/>
    <mergeCell ref="A11:B11"/>
    <mergeCell ref="A12:B12"/>
    <mergeCell ref="A13:B13"/>
    <mergeCell ref="G13:I13"/>
    <mergeCell ref="B8:D8"/>
    <mergeCell ref="E8:J8"/>
    <mergeCell ref="I1:J1"/>
  </mergeCells>
  <dataValidations count="6">
    <dataValidation type="list" allowBlank="1" showInputMessage="1" showErrorMessage="1" sqref="J15" xr:uid="{00000000-0002-0000-0100-000000000000}">
      <formula1>lstSLAType</formula1>
    </dataValidation>
    <dataValidation type="list" allowBlank="1" showInputMessage="1" showErrorMessage="1" sqref="J21:J38" xr:uid="{00000000-0002-0000-0100-000001000000}">
      <formula1>lstFCSoftware</formula1>
    </dataValidation>
    <dataValidation type="list" allowBlank="1" showInputMessage="1" showErrorMessage="1" sqref="J43:J56" xr:uid="{00000000-0002-0000-0100-000002000000}">
      <formula1>lstFCMaintenance</formula1>
    </dataValidation>
    <dataValidation type="list" allowBlank="1" showInputMessage="1" showErrorMessage="1" sqref="J61:J70" xr:uid="{00000000-0002-0000-0100-000003000000}">
      <formula1>lstFCProjekt</formula1>
    </dataValidation>
    <dataValidation type="list" allowBlank="1" showInputMessage="1" showErrorMessage="1" sqref="F21:F38 F43:F56" xr:uid="{00000000-0002-0000-0100-000004000000}">
      <formula1>lstKalkSW</formula1>
    </dataValidation>
    <dataValidation type="textLength" operator="equal" allowBlank="1" showInputMessage="1" showErrorMessage="1" errorTitle="Achtung!" error="Bitte geben Sie einen 7-stelligen, alphanumerischen Wert wie z.B. P300020 ein." sqref="B73" xr:uid="{00000000-0002-0000-0100-000005000000}">
      <formula1>7</formula1>
    </dataValidation>
  </dataValidations>
  <printOptions horizontalCentered="1"/>
  <pageMargins left="0.23622047244094491" right="0.23622047244094491" top="0.35433070866141736" bottom="0.19685039370078741" header="0.19685039370078741" footer="0.27559055118110237"/>
  <pageSetup paperSize="9" scale="45" orientation="portrait" r:id="rId1"/>
  <headerFooter alignWithMargins="0">
    <oddFooter>&amp;C&amp;K0000FF&amp;F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6"/>
    <pageSetUpPr fitToPage="1"/>
  </sheetPr>
  <dimension ref="A1:O49"/>
  <sheetViews>
    <sheetView showGridLines="0" zoomScaleNormal="100" workbookViewId="0">
      <selection sqref="A1:G2"/>
    </sheetView>
  </sheetViews>
  <sheetFormatPr defaultColWidth="11.32421875" defaultRowHeight="12.75" x14ac:dyDescent="0.15"/>
  <cols>
    <col min="1" max="1" width="3.234375" style="1" customWidth="1"/>
    <col min="2" max="2" width="16.31640625" style="1" customWidth="1"/>
    <col min="3" max="6" width="19.28125" style="1" customWidth="1"/>
    <col min="7" max="7" width="3.234375" style="1" customWidth="1"/>
    <col min="8" max="9" width="11.32421875" style="570"/>
    <col min="10" max="16384" width="11.32421875" style="1"/>
  </cols>
  <sheetData>
    <row r="1" spans="1:9" ht="18" customHeight="1" x14ac:dyDescent="0.15">
      <c r="A1" s="818" t="s">
        <v>295</v>
      </c>
      <c r="B1" s="819"/>
      <c r="C1" s="819"/>
      <c r="D1" s="819"/>
      <c r="E1" s="819"/>
      <c r="F1" s="819"/>
      <c r="G1" s="820"/>
      <c r="H1" s="824" t="s">
        <v>296</v>
      </c>
      <c r="I1" s="825"/>
    </row>
    <row r="2" spans="1:9" ht="12.75" customHeight="1" x14ac:dyDescent="0.15">
      <c r="A2" s="821"/>
      <c r="B2" s="822"/>
      <c r="C2" s="822"/>
      <c r="D2" s="822"/>
      <c r="E2" s="822"/>
      <c r="F2" s="822"/>
      <c r="G2" s="823"/>
      <c r="H2" s="569"/>
      <c r="I2" s="577"/>
    </row>
    <row r="3" spans="1:9" ht="5.0999999999999996" customHeight="1" x14ac:dyDescent="0.15">
      <c r="A3" s="3"/>
      <c r="B3" s="4"/>
      <c r="C3" s="4"/>
      <c r="D3" s="4"/>
      <c r="E3" s="4"/>
      <c r="F3" s="4"/>
      <c r="G3" s="5"/>
      <c r="H3" s="569"/>
      <c r="I3" s="577"/>
    </row>
    <row r="4" spans="1:9" ht="12.75" customHeight="1" x14ac:dyDescent="0.15">
      <c r="A4" s="6"/>
      <c r="B4" s="412" t="s">
        <v>378</v>
      </c>
      <c r="C4" s="394"/>
      <c r="D4" s="644" t="s">
        <v>384</v>
      </c>
      <c r="F4" s="644"/>
      <c r="G4" s="649" t="s">
        <v>385</v>
      </c>
      <c r="H4" s="569"/>
      <c r="I4" s="577"/>
    </row>
    <row r="5" spans="1:9" ht="12.75" customHeight="1" x14ac:dyDescent="0.15">
      <c r="A5" s="8"/>
      <c r="B5" s="9"/>
      <c r="C5" s="9"/>
      <c r="D5" s="9"/>
      <c r="E5" s="9"/>
      <c r="F5" s="9"/>
      <c r="G5" s="10"/>
      <c r="H5" s="569"/>
      <c r="I5" s="577"/>
    </row>
    <row r="6" spans="1:9" ht="13.5" thickBot="1" x14ac:dyDescent="0.2">
      <c r="A6" s="11"/>
      <c r="B6" s="12"/>
      <c r="C6" s="12"/>
      <c r="D6" s="12"/>
      <c r="E6" s="12"/>
      <c r="F6" s="12"/>
      <c r="G6" s="70"/>
      <c r="H6" s="569"/>
      <c r="I6" s="569"/>
    </row>
    <row r="7" spans="1:9" ht="24" customHeight="1" x14ac:dyDescent="0.3">
      <c r="A7" s="6"/>
      <c r="B7" s="829" t="s">
        <v>297</v>
      </c>
      <c r="C7" s="830"/>
      <c r="D7" s="830"/>
      <c r="E7" s="830"/>
      <c r="F7" s="831"/>
      <c r="G7" s="7"/>
      <c r="H7" s="569"/>
      <c r="I7" s="569"/>
    </row>
    <row r="8" spans="1:9" ht="18" thickBot="1" x14ac:dyDescent="0.2">
      <c r="A8" s="6"/>
      <c r="B8" s="386" t="s">
        <v>298</v>
      </c>
      <c r="C8" s="71">
        <v>24</v>
      </c>
      <c r="D8" s="72">
        <v>36</v>
      </c>
      <c r="E8" s="72">
        <v>48</v>
      </c>
      <c r="F8" s="391">
        <v>60</v>
      </c>
      <c r="G8" s="7"/>
      <c r="H8" s="569"/>
      <c r="I8" s="569"/>
    </row>
    <row r="9" spans="1:9" ht="24" customHeight="1" thickTop="1" x14ac:dyDescent="0.2">
      <c r="A9" s="6"/>
      <c r="B9" s="392" t="s">
        <v>299</v>
      </c>
      <c r="C9" s="635">
        <f>C18*3</f>
        <v>0.12965099999999999</v>
      </c>
      <c r="D9" s="636">
        <f>D18*3</f>
        <v>8.9099999999999999E-2</v>
      </c>
      <c r="E9" s="636">
        <f>E18*3</f>
        <v>6.8850000000000008E-2</v>
      </c>
      <c r="F9" s="637">
        <f>F18*3</f>
        <v>5.6717999999999998E-2</v>
      </c>
      <c r="G9" s="7"/>
      <c r="H9" s="569"/>
      <c r="I9" s="569"/>
    </row>
    <row r="10" spans="1:9" ht="24" customHeight="1" x14ac:dyDescent="0.2">
      <c r="A10" s="6"/>
      <c r="B10" s="392" t="s">
        <v>300</v>
      </c>
      <c r="C10" s="638">
        <f t="shared" ref="C10:F13" si="0">C19*3</f>
        <v>0.12965099999999999</v>
      </c>
      <c r="D10" s="639">
        <f t="shared" si="0"/>
        <v>8.9099999999999999E-2</v>
      </c>
      <c r="E10" s="639">
        <f t="shared" si="0"/>
        <v>6.8850000000000008E-2</v>
      </c>
      <c r="F10" s="640">
        <f t="shared" si="0"/>
        <v>5.6717999999999998E-2</v>
      </c>
      <c r="G10" s="7"/>
      <c r="H10" s="569"/>
      <c r="I10" s="569"/>
    </row>
    <row r="11" spans="1:9" ht="24" customHeight="1" x14ac:dyDescent="0.2">
      <c r="A11" s="6"/>
      <c r="B11" s="392" t="s">
        <v>301</v>
      </c>
      <c r="C11" s="638">
        <f t="shared" si="0"/>
        <v>0.12965099999999999</v>
      </c>
      <c r="D11" s="639">
        <f t="shared" si="0"/>
        <v>8.9099999999999999E-2</v>
      </c>
      <c r="E11" s="639">
        <f t="shared" si="0"/>
        <v>6.8850000000000008E-2</v>
      </c>
      <c r="F11" s="640">
        <f t="shared" si="0"/>
        <v>5.6717999999999998E-2</v>
      </c>
      <c r="G11" s="7"/>
      <c r="H11" s="569"/>
      <c r="I11" s="569"/>
    </row>
    <row r="12" spans="1:9" ht="24" customHeight="1" x14ac:dyDescent="0.2">
      <c r="A12" s="6"/>
      <c r="B12" s="392" t="s">
        <v>302</v>
      </c>
      <c r="C12" s="638">
        <f t="shared" si="0"/>
        <v>0.12965099999999999</v>
      </c>
      <c r="D12" s="639">
        <f t="shared" si="0"/>
        <v>8.9099999999999999E-2</v>
      </c>
      <c r="E12" s="639">
        <f t="shared" si="0"/>
        <v>6.8850000000000008E-2</v>
      </c>
      <c r="F12" s="640">
        <f t="shared" si="0"/>
        <v>5.6717999999999998E-2</v>
      </c>
      <c r="G12" s="7"/>
      <c r="H12" s="569"/>
      <c r="I12" s="569"/>
    </row>
    <row r="13" spans="1:9" ht="24" customHeight="1" thickBot="1" x14ac:dyDescent="0.25">
      <c r="A13" s="6"/>
      <c r="B13" s="393" t="s">
        <v>303</v>
      </c>
      <c r="C13" s="641">
        <f t="shared" si="0"/>
        <v>0.12928500000000001</v>
      </c>
      <c r="D13" s="642">
        <f t="shared" si="0"/>
        <v>8.8721999999999995E-2</v>
      </c>
      <c r="E13" s="642">
        <f t="shared" si="0"/>
        <v>6.845699999999999E-2</v>
      </c>
      <c r="F13" s="643">
        <f t="shared" si="0"/>
        <v>5.6325E-2</v>
      </c>
      <c r="G13" s="7"/>
    </row>
    <row r="14" spans="1:9" ht="24" hidden="1" customHeight="1" thickBot="1" x14ac:dyDescent="0.25">
      <c r="A14" s="6"/>
      <c r="B14" s="390" t="s">
        <v>304</v>
      </c>
      <c r="C14" s="382">
        <v>0.12945000000000001</v>
      </c>
      <c r="D14" s="383">
        <v>8.8800000000000004E-2</v>
      </c>
      <c r="E14" s="383">
        <v>6.855E-2</v>
      </c>
      <c r="F14" s="384">
        <v>5.6399999999999999E-2</v>
      </c>
      <c r="G14" s="7"/>
    </row>
    <row r="15" spans="1:9" ht="24" customHeight="1" thickBot="1" x14ac:dyDescent="0.25">
      <c r="A15" s="6"/>
      <c r="B15" s="25"/>
      <c r="C15" s="26"/>
      <c r="D15" s="26"/>
      <c r="E15" s="26"/>
      <c r="F15" s="26"/>
      <c r="G15" s="7"/>
    </row>
    <row r="16" spans="1:9" ht="24" customHeight="1" x14ac:dyDescent="0.3">
      <c r="A16" s="6"/>
      <c r="B16" s="832" t="s">
        <v>13</v>
      </c>
      <c r="C16" s="833"/>
      <c r="D16" s="833"/>
      <c r="E16" s="833"/>
      <c r="F16" s="834"/>
      <c r="G16" s="7"/>
    </row>
    <row r="17" spans="1:15" ht="17.25" x14ac:dyDescent="0.15">
      <c r="A17" s="6"/>
      <c r="B17" s="386" t="s">
        <v>305</v>
      </c>
      <c r="C17" s="23">
        <v>24</v>
      </c>
      <c r="D17" s="24">
        <v>36</v>
      </c>
      <c r="E17" s="24">
        <v>48</v>
      </c>
      <c r="F17" s="387">
        <v>60</v>
      </c>
      <c r="G17" s="7"/>
      <c r="I17" s="578"/>
      <c r="J17" s="41"/>
      <c r="N17" s="817"/>
      <c r="O17" s="817"/>
    </row>
    <row r="18" spans="1:15" ht="24" customHeight="1" x14ac:dyDescent="0.2">
      <c r="A18" s="6"/>
      <c r="B18" s="388" t="s">
        <v>299</v>
      </c>
      <c r="C18" s="33">
        <v>4.3216999999999998E-2</v>
      </c>
      <c r="D18" s="34">
        <v>2.9700000000000001E-2</v>
      </c>
      <c r="E18" s="34">
        <v>2.2950000000000002E-2</v>
      </c>
      <c r="F18" s="645">
        <v>1.8905999999999999E-2</v>
      </c>
      <c r="G18" s="7"/>
    </row>
    <row r="19" spans="1:15" ht="24" customHeight="1" x14ac:dyDescent="0.2">
      <c r="A19" s="6"/>
      <c r="B19" s="388" t="s">
        <v>300</v>
      </c>
      <c r="C19" s="33">
        <v>4.3216999999999998E-2</v>
      </c>
      <c r="D19" s="34">
        <v>2.9700000000000001E-2</v>
      </c>
      <c r="E19" s="34">
        <v>2.2950000000000002E-2</v>
      </c>
      <c r="F19" s="645">
        <v>1.8905999999999999E-2</v>
      </c>
      <c r="G19" s="7"/>
    </row>
    <row r="20" spans="1:15" ht="24" customHeight="1" x14ac:dyDescent="0.2">
      <c r="A20" s="6"/>
      <c r="B20" s="388" t="s">
        <v>301</v>
      </c>
      <c r="C20" s="33">
        <v>4.3216999999999998E-2</v>
      </c>
      <c r="D20" s="34">
        <v>2.9700000000000001E-2</v>
      </c>
      <c r="E20" s="34">
        <v>2.2950000000000002E-2</v>
      </c>
      <c r="F20" s="645">
        <v>1.8905999999999999E-2</v>
      </c>
      <c r="G20" s="7"/>
    </row>
    <row r="21" spans="1:15" ht="24" customHeight="1" x14ac:dyDescent="0.2">
      <c r="A21" s="6"/>
      <c r="B21" s="388" t="s">
        <v>302</v>
      </c>
      <c r="C21" s="33">
        <v>4.3216999999999998E-2</v>
      </c>
      <c r="D21" s="34">
        <v>2.9700000000000001E-2</v>
      </c>
      <c r="E21" s="34">
        <v>2.2950000000000002E-2</v>
      </c>
      <c r="F21" s="645">
        <v>1.8905999999999999E-2</v>
      </c>
      <c r="G21" s="7"/>
    </row>
    <row r="22" spans="1:15" ht="24" customHeight="1" thickBot="1" x14ac:dyDescent="0.25">
      <c r="A22" s="6"/>
      <c r="B22" s="389" t="s">
        <v>303</v>
      </c>
      <c r="C22" s="646">
        <v>4.3095000000000001E-2</v>
      </c>
      <c r="D22" s="647">
        <v>2.9574E-2</v>
      </c>
      <c r="E22" s="647">
        <v>2.2818999999999999E-2</v>
      </c>
      <c r="F22" s="648">
        <v>1.8775E-2</v>
      </c>
      <c r="G22" s="7"/>
    </row>
    <row r="23" spans="1:15" ht="18" hidden="1" customHeight="1" thickBot="1" x14ac:dyDescent="0.25">
      <c r="A23" s="6"/>
      <c r="B23" s="385" t="s">
        <v>304</v>
      </c>
      <c r="C23" s="382">
        <v>4.3150000000000001E-2</v>
      </c>
      <c r="D23" s="383">
        <v>2.9600000000000001E-2</v>
      </c>
      <c r="E23" s="383">
        <v>2.2850000000000002E-2</v>
      </c>
      <c r="F23" s="384">
        <v>1.8799999999999997E-2</v>
      </c>
      <c r="G23" s="7"/>
      <c r="J23" s="29"/>
    </row>
    <row r="24" spans="1:15" ht="24" customHeight="1" x14ac:dyDescent="0.15">
      <c r="A24" s="6"/>
      <c r="G24" s="7"/>
      <c r="J24" s="29"/>
    </row>
    <row r="25" spans="1:15" ht="12.75" customHeight="1" x14ac:dyDescent="0.15">
      <c r="A25" s="6"/>
      <c r="G25" s="7"/>
    </row>
    <row r="26" spans="1:15" x14ac:dyDescent="0.15">
      <c r="A26" s="6"/>
      <c r="B26" s="428" t="s">
        <v>306</v>
      </c>
      <c r="G26" s="7"/>
    </row>
    <row r="27" spans="1:15" x14ac:dyDescent="0.15">
      <c r="A27" s="6"/>
      <c r="G27" s="7"/>
    </row>
    <row r="28" spans="1:15" x14ac:dyDescent="0.15">
      <c r="A28" s="6"/>
      <c r="B28" s="13" t="s">
        <v>307</v>
      </c>
      <c r="C28" s="13"/>
      <c r="D28" s="13"/>
      <c r="E28" s="13"/>
      <c r="F28" s="13"/>
      <c r="G28" s="7"/>
    </row>
    <row r="29" spans="1:15" x14ac:dyDescent="0.15">
      <c r="A29" s="6"/>
      <c r="B29" s="1" t="s">
        <v>308</v>
      </c>
      <c r="C29" s="13"/>
      <c r="D29" s="13"/>
      <c r="E29" s="13"/>
      <c r="F29" s="20">
        <v>100</v>
      </c>
      <c r="G29" s="7"/>
    </row>
    <row r="30" spans="1:15" x14ac:dyDescent="0.15">
      <c r="A30" s="6"/>
      <c r="G30" s="7"/>
    </row>
    <row r="31" spans="1:15" x14ac:dyDescent="0.15">
      <c r="A31" s="6"/>
      <c r="B31" s="13" t="s">
        <v>309</v>
      </c>
      <c r="C31" s="1" t="s">
        <v>310</v>
      </c>
      <c r="G31" s="7"/>
    </row>
    <row r="32" spans="1:15" x14ac:dyDescent="0.15">
      <c r="A32" s="6"/>
      <c r="C32" s="1" t="s">
        <v>311</v>
      </c>
      <c r="G32" s="7"/>
    </row>
    <row r="33" spans="1:9" x14ac:dyDescent="0.15">
      <c r="A33" s="6"/>
      <c r="G33" s="7"/>
    </row>
    <row r="34" spans="1:9" x14ac:dyDescent="0.15">
      <c r="A34" s="6"/>
      <c r="G34" s="7"/>
    </row>
    <row r="35" spans="1:9" x14ac:dyDescent="0.15">
      <c r="A35" s="6"/>
      <c r="G35" s="7"/>
    </row>
    <row r="36" spans="1:9" ht="15" x14ac:dyDescent="0.15">
      <c r="A36" s="6"/>
      <c r="B36" s="17" t="s">
        <v>312</v>
      </c>
      <c r="C36" s="16"/>
      <c r="D36" s="16"/>
      <c r="E36" s="16"/>
      <c r="F36" s="16"/>
      <c r="G36" s="7"/>
    </row>
    <row r="37" spans="1:9" x14ac:dyDescent="0.15">
      <c r="A37" s="6"/>
      <c r="G37" s="7"/>
    </row>
    <row r="38" spans="1:9" x14ac:dyDescent="0.15">
      <c r="A38" s="6"/>
      <c r="B38" s="13" t="s">
        <v>313</v>
      </c>
      <c r="C38" s="1" t="s">
        <v>84</v>
      </c>
      <c r="D38" s="18">
        <v>10500</v>
      </c>
      <c r="G38" s="7"/>
    </row>
    <row r="39" spans="1:9" x14ac:dyDescent="0.15">
      <c r="A39" s="6"/>
      <c r="C39" s="1" t="s">
        <v>314</v>
      </c>
      <c r="D39" s="18">
        <f>SUM(D38*0.1)</f>
        <v>1050</v>
      </c>
      <c r="G39" s="7"/>
    </row>
    <row r="40" spans="1:9" x14ac:dyDescent="0.15">
      <c r="A40" s="6"/>
      <c r="D40" s="18"/>
      <c r="G40" s="7"/>
    </row>
    <row r="41" spans="1:9" x14ac:dyDescent="0.15">
      <c r="A41" s="6"/>
      <c r="C41" s="1" t="s">
        <v>105</v>
      </c>
      <c r="D41" s="18">
        <f>SUM(D38-D39)</f>
        <v>9450</v>
      </c>
      <c r="G41" s="7"/>
    </row>
    <row r="42" spans="1:9" x14ac:dyDescent="0.15">
      <c r="A42" s="6"/>
      <c r="D42" s="18"/>
      <c r="G42" s="7"/>
    </row>
    <row r="43" spans="1:9" x14ac:dyDescent="0.15">
      <c r="A43" s="6"/>
      <c r="B43" s="15" t="s">
        <v>315</v>
      </c>
      <c r="C43" s="76">
        <f>E9</f>
        <v>6.8850000000000008E-2</v>
      </c>
      <c r="D43" s="19">
        <f>SUM(D41*E9)</f>
        <v>650.63250000000005</v>
      </c>
      <c r="G43" s="7"/>
    </row>
    <row r="44" spans="1:9" x14ac:dyDescent="0.15">
      <c r="A44" s="6"/>
      <c r="G44" s="7"/>
      <c r="I44" s="413"/>
    </row>
    <row r="45" spans="1:9" x14ac:dyDescent="0.15">
      <c r="A45" s="6"/>
      <c r="G45" s="7"/>
    </row>
    <row r="46" spans="1:9" x14ac:dyDescent="0.15">
      <c r="A46" s="6"/>
      <c r="G46" s="7"/>
    </row>
    <row r="47" spans="1:9" x14ac:dyDescent="0.15">
      <c r="A47" s="11"/>
      <c r="B47" s="814" t="s">
        <v>316</v>
      </c>
      <c r="C47" s="814"/>
      <c r="D47" s="814"/>
      <c r="E47" s="814"/>
      <c r="F47" s="826" t="s">
        <v>317</v>
      </c>
      <c r="G47" s="70"/>
    </row>
    <row r="48" spans="1:9" x14ac:dyDescent="0.15">
      <c r="A48" s="6"/>
      <c r="B48" s="815"/>
      <c r="C48" s="815"/>
      <c r="D48" s="815"/>
      <c r="E48" s="815"/>
      <c r="F48" s="827"/>
      <c r="G48" s="7"/>
    </row>
    <row r="49" spans="1:7" x14ac:dyDescent="0.15">
      <c r="A49" s="8"/>
      <c r="B49" s="816"/>
      <c r="C49" s="816"/>
      <c r="D49" s="816"/>
      <c r="E49" s="816"/>
      <c r="F49" s="828"/>
      <c r="G49" s="10"/>
    </row>
  </sheetData>
  <sheetProtection algorithmName="SHA-512" hashValue="NIY17g/CaPIp18rpX1hnDYVnGDXEWV2EYVfqwhsa4OypyEb5Mz3OmYS81yx2+iFlH/lYS+WZe0n1DZKggOY6og==" saltValue="w/OsZX/1aL6aOfoBKvva3Q==" spinCount="100000" sheet="1" objects="1" scenarios="1"/>
  <mergeCells count="8">
    <mergeCell ref="B47:C49"/>
    <mergeCell ref="D47:E49"/>
    <mergeCell ref="N17:O17"/>
    <mergeCell ref="A1:G2"/>
    <mergeCell ref="H1:I1"/>
    <mergeCell ref="F47:F49"/>
    <mergeCell ref="B7:F7"/>
    <mergeCell ref="B16:F16"/>
  </mergeCells>
  <phoneticPr fontId="0" type="noConversion"/>
  <printOptions horizontalCentered="1"/>
  <pageMargins left="0.23622047244094491" right="0.23622047244094491" top="0.35433070866141736" bottom="0.19685039370078741" header="0.19685039370078741" footer="0.27559055118110237"/>
  <pageSetup paperSize="9" scale="87" orientation="portrait" r:id="rId1"/>
  <headerFooter alignWithMargins="0">
    <oddFooter>&amp;C&amp;K0000FF&amp;F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42"/>
    <pageSetUpPr fitToPage="1"/>
  </sheetPr>
  <dimension ref="A1:K57"/>
  <sheetViews>
    <sheetView showGridLines="0" tabSelected="1" topLeftCell="B1" zoomScale="90" zoomScaleNormal="90" workbookViewId="0">
      <selection activeCell="F15" sqref="F15"/>
    </sheetView>
  </sheetViews>
  <sheetFormatPr defaultColWidth="11.32421875" defaultRowHeight="13.5" x14ac:dyDescent="0.15"/>
  <cols>
    <col min="1" max="1" width="3.234375" style="1" customWidth="1"/>
    <col min="2" max="2" width="25.62109375" style="1" customWidth="1"/>
    <col min="3" max="8" width="19.8203125" style="1" customWidth="1"/>
    <col min="9" max="9" width="3.234375" style="1" customWidth="1"/>
    <col min="10" max="11" width="11.32421875" style="572"/>
    <col min="12" max="16384" width="11.32421875" style="1"/>
  </cols>
  <sheetData>
    <row r="1" spans="1:11" ht="18" customHeight="1" x14ac:dyDescent="0.15">
      <c r="A1" s="848" t="s">
        <v>318</v>
      </c>
      <c r="B1" s="849"/>
      <c r="C1" s="849"/>
      <c r="D1" s="849"/>
      <c r="E1" s="849"/>
      <c r="F1" s="849"/>
      <c r="G1" s="849"/>
      <c r="H1" s="849"/>
      <c r="I1" s="850"/>
      <c r="J1" s="824" t="s">
        <v>296</v>
      </c>
      <c r="K1" s="825"/>
    </row>
    <row r="2" spans="1:11" ht="12.75" customHeight="1" x14ac:dyDescent="0.15">
      <c r="A2" s="851"/>
      <c r="B2" s="852"/>
      <c r="C2" s="852"/>
      <c r="D2" s="852"/>
      <c r="E2" s="852"/>
      <c r="F2" s="852"/>
      <c r="G2" s="852"/>
      <c r="H2" s="852"/>
      <c r="I2" s="853"/>
      <c r="J2" s="571"/>
      <c r="K2" s="571"/>
    </row>
    <row r="3" spans="1:11" ht="5.0999999999999996" customHeight="1" x14ac:dyDescent="0.15">
      <c r="A3" s="3"/>
      <c r="B3" s="4"/>
      <c r="C3" s="4"/>
      <c r="D3" s="4"/>
      <c r="E3" s="4"/>
      <c r="F3" s="4"/>
      <c r="G3" s="4"/>
      <c r="H3" s="4"/>
      <c r="I3" s="5"/>
      <c r="J3" s="571"/>
      <c r="K3" s="571"/>
    </row>
    <row r="4" spans="1:11" ht="12.75" customHeight="1" x14ac:dyDescent="0.15">
      <c r="A4" s="6"/>
      <c r="B4" s="412" t="s">
        <v>378</v>
      </c>
      <c r="C4" s="394"/>
      <c r="D4" s="30"/>
      <c r="E4" s="854" t="s">
        <v>384</v>
      </c>
      <c r="F4" s="854"/>
      <c r="G4" s="847" t="s">
        <v>385</v>
      </c>
      <c r="H4" s="847"/>
      <c r="I4" s="39"/>
      <c r="J4" s="571"/>
      <c r="K4" s="571"/>
    </row>
    <row r="5" spans="1:11" ht="12.75" customHeight="1" x14ac:dyDescent="0.15">
      <c r="A5" s="8"/>
      <c r="B5" s="9"/>
      <c r="C5" s="9"/>
      <c r="D5" s="9"/>
      <c r="E5" s="9"/>
      <c r="F5" s="9"/>
      <c r="G5" s="9"/>
      <c r="H5" s="9"/>
      <c r="I5" s="10"/>
      <c r="J5" s="571"/>
      <c r="K5" s="571"/>
    </row>
    <row r="6" spans="1:11" x14ac:dyDescent="0.15">
      <c r="A6" s="11"/>
      <c r="B6" s="12"/>
      <c r="C6" s="12"/>
      <c r="D6" s="12"/>
      <c r="E6" s="12"/>
      <c r="I6" s="7"/>
      <c r="J6" s="571"/>
      <c r="K6" s="571"/>
    </row>
    <row r="7" spans="1:11" ht="14.25" customHeight="1" x14ac:dyDescent="0.15">
      <c r="A7" s="6"/>
      <c r="C7" s="28" t="s">
        <v>386</v>
      </c>
      <c r="F7" s="9"/>
      <c r="G7" s="9"/>
      <c r="H7" s="9"/>
      <c r="I7" s="7"/>
      <c r="J7" s="571"/>
      <c r="K7" s="571"/>
    </row>
    <row r="8" spans="1:11" ht="33.75" customHeight="1" x14ac:dyDescent="0.2">
      <c r="A8" s="6"/>
      <c r="B8" s="2" t="s">
        <v>298</v>
      </c>
      <c r="C8" s="71" t="s">
        <v>387</v>
      </c>
      <c r="D8" s="71">
        <v>72</v>
      </c>
      <c r="E8" s="71">
        <v>24</v>
      </c>
      <c r="F8" s="72">
        <v>36</v>
      </c>
      <c r="G8" s="72">
        <v>48</v>
      </c>
      <c r="H8" s="73">
        <v>60</v>
      </c>
      <c r="I8" s="7"/>
      <c r="J8" s="571"/>
      <c r="K8" s="571"/>
    </row>
    <row r="9" spans="1:11" ht="23.25" customHeight="1" x14ac:dyDescent="0.2">
      <c r="A9" s="6"/>
      <c r="B9" s="74" t="s">
        <v>299</v>
      </c>
      <c r="C9" s="33"/>
      <c r="D9" s="33">
        <v>1.61E-2</v>
      </c>
      <c r="E9" s="33">
        <v>4.499959265162453E-2</v>
      </c>
      <c r="F9" s="34">
        <v>3.1106218160656431E-2</v>
      </c>
      <c r="G9" s="34">
        <v>2.3946244662442908E-2</v>
      </c>
      <c r="H9" s="35">
        <v>1.9990462799663104E-2</v>
      </c>
      <c r="I9" s="7"/>
      <c r="J9" s="571"/>
      <c r="K9" s="571"/>
    </row>
    <row r="10" spans="1:11" ht="23.25" customHeight="1" x14ac:dyDescent="0.2">
      <c r="A10" s="6"/>
      <c r="B10" s="74" t="s">
        <v>300</v>
      </c>
      <c r="C10" s="33"/>
      <c r="D10" s="33">
        <v>1.6060000000000001E-2</v>
      </c>
      <c r="E10" s="33">
        <v>4.4546251433510993E-2</v>
      </c>
      <c r="F10" s="34">
        <v>3.0740117113828926E-2</v>
      </c>
      <c r="G10" s="34">
        <v>2.3668858652362693E-2</v>
      </c>
      <c r="H10" s="35">
        <v>1.9706974220893663E-2</v>
      </c>
      <c r="I10" s="7"/>
      <c r="J10" s="571"/>
      <c r="K10" s="571"/>
    </row>
    <row r="11" spans="1:11" ht="23.25" customHeight="1" x14ac:dyDescent="0.2">
      <c r="A11" s="6"/>
      <c r="B11" s="74" t="s">
        <v>301</v>
      </c>
      <c r="C11" s="33"/>
      <c r="D11" s="33">
        <v>1.601E-2</v>
      </c>
      <c r="E11" s="33">
        <v>4.4095656158136605E-2</v>
      </c>
      <c r="F11" s="34">
        <v>3.0376647901819112E-2</v>
      </c>
      <c r="G11" s="34">
        <v>2.3393442992278125E-2</v>
      </c>
      <c r="H11" s="35">
        <v>1.9425935528026121E-2</v>
      </c>
      <c r="I11" s="7"/>
      <c r="J11" s="571"/>
      <c r="K11" s="571"/>
    </row>
    <row r="12" spans="1:11" ht="23.25" customHeight="1" x14ac:dyDescent="0.2">
      <c r="A12" s="6"/>
      <c r="B12" s="74" t="s">
        <v>303</v>
      </c>
      <c r="C12" s="33"/>
      <c r="D12" s="33">
        <v>1.5970000000000002E-2</v>
      </c>
      <c r="E12" s="33">
        <v>4.3647811552083443E-2</v>
      </c>
      <c r="F12" s="34">
        <v>3.0015815514112879E-2</v>
      </c>
      <c r="G12" s="34">
        <v>2.3120001443289972E-2</v>
      </c>
      <c r="H12" s="35">
        <v>1.9147353285954433E-2</v>
      </c>
      <c r="I12" s="7"/>
      <c r="J12" s="1"/>
      <c r="K12" s="1"/>
    </row>
    <row r="13" spans="1:11" ht="20.25" customHeight="1" x14ac:dyDescent="0.2">
      <c r="A13" s="6"/>
      <c r="B13" s="74" t="s">
        <v>304</v>
      </c>
      <c r="C13" s="33"/>
      <c r="D13" s="33">
        <v>1.592E-2</v>
      </c>
      <c r="E13" s="33">
        <v>4.3202722135743513E-2</v>
      </c>
      <c r="F13" s="34">
        <v>2.9657624652128355E-2</v>
      </c>
      <c r="G13" s="34">
        <v>2.2848537550567444E-2</v>
      </c>
      <c r="H13" s="35">
        <v>1.8871233644010936E-2</v>
      </c>
      <c r="I13" s="7"/>
      <c r="J13" s="1"/>
      <c r="K13" s="1"/>
    </row>
    <row r="14" spans="1:11" ht="20.25" customHeight="1" x14ac:dyDescent="0.2">
      <c r="A14" s="6"/>
      <c r="B14" s="75" t="s">
        <v>319</v>
      </c>
      <c r="C14" s="36"/>
      <c r="D14" s="36">
        <v>1.5869999999999999E-2</v>
      </c>
      <c r="E14" s="36">
        <v>4.2760392221688225E-2</v>
      </c>
      <c r="F14" s="37">
        <v>2.9302079726910808E-2</v>
      </c>
      <c r="G14" s="37">
        <v>2.2579054641689984E-2</v>
      </c>
      <c r="H14" s="38">
        <v>1.8597582331671771E-2</v>
      </c>
      <c r="I14" s="7"/>
      <c r="J14" s="1"/>
      <c r="K14" s="1"/>
    </row>
    <row r="15" spans="1:11" x14ac:dyDescent="0.15">
      <c r="A15" s="6"/>
      <c r="C15" s="32">
        <f>IF(Kalkulation!$C$62&gt;=250000,C14,IF(Kalkulation!$C$62&gt;=100000,C13,IF(Kalkulation!$C$62&gt;=50000,C12,IF(Kalkulation!$C$62&gt;=20000,C11,IF(Kalkulation!$C$62&gt;=10000,C10,C9)))))</f>
        <v>0</v>
      </c>
      <c r="D15" s="32">
        <f>IF(Kalkulation!$C$62&gt;=250000,D14,IF(Kalkulation!$C$62&gt;=100000,D13,IF(Kalkulation!$C$62&gt;=50000,D12,IF(Kalkulation!$C$62&gt;=20000,D11,IF(Kalkulation!$C$62&gt;=10000,D10,D9)))))</f>
        <v>1.61E-2</v>
      </c>
      <c r="E15" s="32">
        <f>IF(Kalkulation!$C$62&gt;=250000,E14,IF(Kalkulation!$C$62&gt;=100000,E13,IF(Kalkulation!$C$62&gt;=50000,E12,IF(Kalkulation!$C$62&gt;=20000,E11,IF(Kalkulation!$C$62&gt;=10000,E10,E9)))))</f>
        <v>4.499959265162453E-2</v>
      </c>
      <c r="F15" s="32">
        <f>IF(Kalkulation!$C$62&gt;=250000,F14,IF(Kalkulation!$C$62&gt;=100000,F13,IF(Kalkulation!$C$62&gt;=50000,F12,IF(Kalkulation!$C$62&gt;=20000,F11,IF(Kalkulation!$C$62&gt;=10000,F10,F9)))))</f>
        <v>3.1106218160656431E-2</v>
      </c>
      <c r="G15" s="32">
        <f>IF(Kalkulation!$C$62&gt;=250000,G14,IF(Kalkulation!$C$62&gt;=100000,G13,IF(Kalkulation!$C$62&gt;=50000,G12,IF(Kalkulation!$C$62&gt;=20000,G11,IF(Kalkulation!$C$62&gt;=10000,G10,G9)))))</f>
        <v>2.3946244662442908E-2</v>
      </c>
      <c r="H15" s="32">
        <f>IF(Kalkulation!$C$62&gt;=250000,H14,IF(Kalkulation!$C$62&gt;=100000,H13,IF(Kalkulation!$C$62&gt;=50000,H12,IF(Kalkulation!$C$62&gt;=20000,H11,IF(Kalkulation!$C$62&gt;=10000,H10,H9)))))</f>
        <v>1.9990462799663104E-2</v>
      </c>
      <c r="I15" s="7"/>
    </row>
    <row r="16" spans="1:11" ht="12.75" customHeight="1" x14ac:dyDescent="0.15">
      <c r="A16" s="6"/>
      <c r="C16" s="409"/>
      <c r="D16" s="32"/>
      <c r="E16" s="409"/>
      <c r="I16" s="7"/>
    </row>
    <row r="17" spans="1:11" ht="12.75" customHeight="1" x14ac:dyDescent="0.15">
      <c r="A17" s="6"/>
      <c r="B17" s="409" t="s">
        <v>320</v>
      </c>
      <c r="C17" s="17"/>
      <c r="D17" s="17"/>
      <c r="E17" s="17"/>
      <c r="F17" s="16"/>
      <c r="G17" s="16"/>
      <c r="H17" s="16"/>
      <c r="I17" s="7"/>
    </row>
    <row r="18" spans="1:11" x14ac:dyDescent="0.15">
      <c r="A18" s="6"/>
      <c r="I18" s="7"/>
      <c r="J18" s="573"/>
    </row>
    <row r="19" spans="1:11" ht="12.75" customHeight="1" x14ac:dyDescent="0.15">
      <c r="A19" s="6"/>
      <c r="B19" s="855" t="s">
        <v>321</v>
      </c>
      <c r="C19" s="855"/>
      <c r="D19" s="855"/>
      <c r="E19" s="855"/>
      <c r="F19" s="855"/>
      <c r="G19" s="855"/>
      <c r="H19" s="69"/>
      <c r="I19" s="7"/>
    </row>
    <row r="20" spans="1:11" ht="12.75" customHeight="1" x14ac:dyDescent="0.15">
      <c r="A20" s="6"/>
      <c r="I20" s="7"/>
    </row>
    <row r="21" spans="1:11" x14ac:dyDescent="0.15">
      <c r="A21" s="6"/>
      <c r="B21" s="13" t="s">
        <v>307</v>
      </c>
      <c r="C21" s="13"/>
      <c r="D21" s="13"/>
      <c r="E21" s="13"/>
      <c r="F21" s="13"/>
      <c r="G21" s="14"/>
      <c r="H21" s="14"/>
      <c r="I21" s="7"/>
    </row>
    <row r="22" spans="1:11" x14ac:dyDescent="0.15">
      <c r="A22" s="6"/>
      <c r="B22" s="1" t="s">
        <v>322</v>
      </c>
      <c r="E22" s="13"/>
      <c r="F22" s="13"/>
      <c r="G22" s="80"/>
      <c r="H22" s="80" t="s">
        <v>323</v>
      </c>
      <c r="I22" s="7"/>
    </row>
    <row r="23" spans="1:11" x14ac:dyDescent="0.15">
      <c r="A23" s="6"/>
      <c r="I23" s="7"/>
    </row>
    <row r="24" spans="1:11" x14ac:dyDescent="0.15">
      <c r="A24" s="6"/>
      <c r="B24" s="13" t="s">
        <v>309</v>
      </c>
      <c r="C24" s="13"/>
      <c r="D24" s="13"/>
      <c r="I24" s="7"/>
      <c r="K24" s="574"/>
    </row>
    <row r="25" spans="1:11" x14ac:dyDescent="0.15">
      <c r="A25" s="6"/>
      <c r="I25" s="7"/>
      <c r="K25" s="574"/>
    </row>
    <row r="26" spans="1:11" x14ac:dyDescent="0.15">
      <c r="A26" s="6"/>
      <c r="I26" s="7"/>
      <c r="K26" s="574"/>
    </row>
    <row r="27" spans="1:11" x14ac:dyDescent="0.15">
      <c r="A27" s="6"/>
      <c r="I27" s="7"/>
      <c r="K27" s="575"/>
    </row>
    <row r="28" spans="1:11" x14ac:dyDescent="0.15">
      <c r="A28" s="6"/>
      <c r="I28" s="7"/>
    </row>
    <row r="29" spans="1:11" ht="15" x14ac:dyDescent="0.15">
      <c r="A29" s="6"/>
      <c r="B29" s="17" t="s">
        <v>324</v>
      </c>
      <c r="C29" s="17"/>
      <c r="D29" s="17"/>
      <c r="E29" s="16"/>
      <c r="F29" s="16"/>
      <c r="G29" s="16"/>
      <c r="H29" s="16"/>
      <c r="I29" s="7"/>
    </row>
    <row r="30" spans="1:11" x14ac:dyDescent="0.15">
      <c r="A30" s="6"/>
      <c r="I30" s="7"/>
      <c r="K30" s="576"/>
    </row>
    <row r="31" spans="1:11" x14ac:dyDescent="0.15">
      <c r="A31" s="6"/>
      <c r="B31" s="13" t="s">
        <v>388</v>
      </c>
      <c r="C31" s="13"/>
      <c r="D31" s="13"/>
      <c r="E31" s="1" t="s">
        <v>84</v>
      </c>
      <c r="F31" s="18">
        <v>13680</v>
      </c>
      <c r="I31" s="7"/>
      <c r="K31" s="574"/>
    </row>
    <row r="32" spans="1:11" x14ac:dyDescent="0.15">
      <c r="A32" s="6"/>
      <c r="E32" s="1" t="s">
        <v>325</v>
      </c>
      <c r="F32" s="18">
        <f>SUM(F31*0.05)</f>
        <v>684</v>
      </c>
      <c r="I32" s="7"/>
      <c r="K32" s="574"/>
    </row>
    <row r="33" spans="1:11" x14ac:dyDescent="0.15">
      <c r="A33" s="6"/>
      <c r="F33" s="18"/>
      <c r="I33" s="7"/>
      <c r="K33" s="574"/>
    </row>
    <row r="34" spans="1:11" x14ac:dyDescent="0.15">
      <c r="A34" s="6"/>
      <c r="E34" s="1" t="s">
        <v>105</v>
      </c>
      <c r="F34" s="18">
        <f>SUM(F31-F32)</f>
        <v>12996</v>
      </c>
      <c r="I34" s="7"/>
      <c r="K34" s="574"/>
    </row>
    <row r="35" spans="1:11" x14ac:dyDescent="0.15">
      <c r="A35" s="6"/>
      <c r="F35" s="18"/>
      <c r="I35" s="7"/>
      <c r="K35" s="574"/>
    </row>
    <row r="36" spans="1:11" x14ac:dyDescent="0.15">
      <c r="A36" s="6"/>
      <c r="B36" s="15" t="s">
        <v>326</v>
      </c>
      <c r="C36" s="15"/>
      <c r="D36" s="15"/>
      <c r="E36" s="31">
        <f>G10</f>
        <v>2.3668858652362693E-2</v>
      </c>
      <c r="F36" s="19">
        <f>E36*F34</f>
        <v>307.60048704610557</v>
      </c>
      <c r="I36" s="7"/>
      <c r="K36" s="574"/>
    </row>
    <row r="37" spans="1:11" x14ac:dyDescent="0.15">
      <c r="A37" s="6"/>
      <c r="B37" s="1" t="s">
        <v>327</v>
      </c>
      <c r="F37" s="18">
        <v>50</v>
      </c>
      <c r="I37" s="7"/>
    </row>
    <row r="38" spans="1:11" x14ac:dyDescent="0.15">
      <c r="A38" s="6"/>
      <c r="B38" s="1" t="s">
        <v>328</v>
      </c>
      <c r="F38" s="18">
        <v>150</v>
      </c>
      <c r="I38" s="7"/>
    </row>
    <row r="39" spans="1:11" x14ac:dyDescent="0.15">
      <c r="A39" s="6"/>
      <c r="F39" s="18"/>
      <c r="I39" s="7"/>
    </row>
    <row r="40" spans="1:11" x14ac:dyDescent="0.15">
      <c r="A40" s="6"/>
      <c r="B40" s="15" t="s">
        <v>329</v>
      </c>
      <c r="C40" s="15"/>
      <c r="D40" s="15"/>
      <c r="E40" s="15"/>
      <c r="F40" s="19">
        <f>SUM(F36:F39)</f>
        <v>507.60048704610557</v>
      </c>
      <c r="I40" s="7"/>
    </row>
    <row r="41" spans="1:11" x14ac:dyDescent="0.15">
      <c r="A41" s="6"/>
      <c r="I41" s="7"/>
    </row>
    <row r="42" spans="1:11" x14ac:dyDescent="0.15">
      <c r="A42" s="6"/>
      <c r="I42" s="7"/>
    </row>
    <row r="43" spans="1:11" ht="15" x14ac:dyDescent="0.15">
      <c r="A43" s="6"/>
      <c r="B43" s="17" t="s">
        <v>330</v>
      </c>
      <c r="C43" s="17"/>
      <c r="D43" s="17"/>
      <c r="E43" s="16"/>
      <c r="F43" s="16"/>
      <c r="G43" s="16"/>
      <c r="H43" s="16"/>
      <c r="I43" s="7"/>
    </row>
    <row r="44" spans="1:11" x14ac:dyDescent="0.15">
      <c r="A44" s="6"/>
      <c r="I44" s="7"/>
    </row>
    <row r="45" spans="1:11" x14ac:dyDescent="0.15">
      <c r="A45" s="6"/>
      <c r="B45" s="13" t="s">
        <v>331</v>
      </c>
      <c r="C45" s="13"/>
      <c r="D45" s="13"/>
      <c r="E45" s="27">
        <v>48</v>
      </c>
      <c r="F45" s="20">
        <f>$F$36</f>
        <v>307.60048704610557</v>
      </c>
      <c r="G45" s="21">
        <f>SUM(E45*F45)</f>
        <v>14764.823378213066</v>
      </c>
      <c r="H45" s="21"/>
      <c r="I45" s="7"/>
    </row>
    <row r="46" spans="1:11" x14ac:dyDescent="0.15">
      <c r="A46" s="6"/>
      <c r="B46" s="1" t="s">
        <v>332</v>
      </c>
      <c r="E46" s="28">
        <v>45</v>
      </c>
      <c r="F46" s="18">
        <f>$F$36</f>
        <v>307.60048704610557</v>
      </c>
      <c r="G46" s="22">
        <f>SUM(E46*F46)</f>
        <v>13842.021917074751</v>
      </c>
      <c r="H46" s="22"/>
      <c r="I46" s="7"/>
    </row>
    <row r="47" spans="1:11" x14ac:dyDescent="0.15">
      <c r="A47" s="6"/>
      <c r="B47" s="1" t="s">
        <v>333</v>
      </c>
      <c r="E47" s="28">
        <v>3</v>
      </c>
      <c r="F47" s="18">
        <f>$F$36</f>
        <v>307.60048704610557</v>
      </c>
      <c r="G47" s="22">
        <f>SUM(E47*F47)</f>
        <v>922.80146113831665</v>
      </c>
      <c r="H47" s="22"/>
      <c r="I47" s="7"/>
    </row>
    <row r="48" spans="1:11" x14ac:dyDescent="0.15">
      <c r="A48" s="6"/>
      <c r="B48" s="1" t="s">
        <v>334</v>
      </c>
      <c r="E48" s="28"/>
      <c r="F48" s="18">
        <f>F34*5%</f>
        <v>649.80000000000007</v>
      </c>
      <c r="G48" s="22">
        <f>F48</f>
        <v>649.80000000000007</v>
      </c>
      <c r="H48" s="22"/>
      <c r="I48" s="7"/>
    </row>
    <row r="49" spans="1:9" x14ac:dyDescent="0.15">
      <c r="A49" s="6"/>
      <c r="B49" s="13" t="s">
        <v>335</v>
      </c>
      <c r="C49" s="13"/>
      <c r="D49" s="13"/>
      <c r="E49" s="13"/>
      <c r="F49" s="13"/>
      <c r="G49" s="21">
        <f>SUM(G47:G48)</f>
        <v>1572.6014611383166</v>
      </c>
      <c r="H49" s="21"/>
      <c r="I49" s="7"/>
    </row>
    <row r="50" spans="1:9" x14ac:dyDescent="0.15">
      <c r="A50" s="6"/>
      <c r="I50" s="7"/>
    </row>
    <row r="51" spans="1:9" x14ac:dyDescent="0.15">
      <c r="A51" s="6"/>
      <c r="I51" s="7"/>
    </row>
    <row r="52" spans="1:9" x14ac:dyDescent="0.15">
      <c r="A52" s="6"/>
      <c r="I52" s="7"/>
    </row>
    <row r="53" spans="1:9" x14ac:dyDescent="0.15">
      <c r="A53" s="6"/>
      <c r="I53" s="7"/>
    </row>
    <row r="54" spans="1:9" x14ac:dyDescent="0.15">
      <c r="A54" s="8"/>
      <c r="B54" s="9"/>
      <c r="C54" s="9"/>
      <c r="D54" s="9"/>
      <c r="E54" s="9"/>
      <c r="F54" s="9"/>
      <c r="G54" s="9"/>
      <c r="H54" s="9"/>
      <c r="I54" s="10"/>
    </row>
    <row r="55" spans="1:9" x14ac:dyDescent="0.15">
      <c r="A55" s="6"/>
      <c r="B55" s="814" t="s">
        <v>316</v>
      </c>
      <c r="C55" s="77"/>
      <c r="D55" s="77"/>
      <c r="E55" s="835" t="s">
        <v>336</v>
      </c>
      <c r="F55" s="836"/>
      <c r="G55" s="837"/>
      <c r="H55" s="844" t="s">
        <v>317</v>
      </c>
      <c r="I55" s="7"/>
    </row>
    <row r="56" spans="1:9" x14ac:dyDescent="0.15">
      <c r="A56" s="6"/>
      <c r="B56" s="815"/>
      <c r="C56" s="78"/>
      <c r="D56" s="78"/>
      <c r="E56" s="838"/>
      <c r="F56" s="839"/>
      <c r="G56" s="840"/>
      <c r="H56" s="845"/>
      <c r="I56" s="7"/>
    </row>
    <row r="57" spans="1:9" x14ac:dyDescent="0.15">
      <c r="A57" s="8"/>
      <c r="B57" s="816"/>
      <c r="C57" s="79"/>
      <c r="D57" s="79"/>
      <c r="E57" s="841"/>
      <c r="F57" s="842"/>
      <c r="G57" s="843"/>
      <c r="H57" s="846"/>
      <c r="I57" s="10"/>
    </row>
  </sheetData>
  <sheetProtection algorithmName="SHA-512" hashValue="NvIAm1TsRYn5bsQY06DFdRz1Mkkg5kxsvdTn8/3siwjI+v7V9igZsd8lN5d5yp0rKJACkTjESnncJ1bCll/iPw==" saltValue="IEpd5e/1vNN/fcwC5piiDw==" spinCount="100000" sheet="1" objects="1" scenarios="1"/>
  <mergeCells count="8">
    <mergeCell ref="B55:B57"/>
    <mergeCell ref="E55:G57"/>
    <mergeCell ref="H55:H57"/>
    <mergeCell ref="J1:K1"/>
    <mergeCell ref="G4:H4"/>
    <mergeCell ref="A1:I2"/>
    <mergeCell ref="E4:F4"/>
    <mergeCell ref="B19:G19"/>
  </mergeCells>
  <phoneticPr fontId="0" type="noConversion"/>
  <printOptions horizontalCentered="1"/>
  <pageMargins left="0.23622047244094491" right="0.23622047244094491" top="0.35433070866141736" bottom="0.19685039370078741" header="0.19685039370078741" footer="0.27559055118110237"/>
  <pageSetup paperSize="9" scale="66" orientation="portrait" r:id="rId1"/>
  <headerFooter alignWithMargins="0">
    <oddFooter>&amp;C&amp;K0000FF&amp;F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en"/>
  <dimension ref="A1:AB56"/>
  <sheetViews>
    <sheetView workbookViewId="0"/>
  </sheetViews>
  <sheetFormatPr defaultRowHeight="12.75" x14ac:dyDescent="0.15"/>
  <cols>
    <col min="1" max="28" width="29.9375" customWidth="1"/>
  </cols>
  <sheetData>
    <row r="1" spans="1:28" x14ac:dyDescent="0.15">
      <c r="A1" t="s">
        <v>389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92</v>
      </c>
      <c r="Z1" t="s">
        <v>87</v>
      </c>
      <c r="AA1" t="s">
        <v>93</v>
      </c>
      <c r="AB1" t="s">
        <v>94</v>
      </c>
    </row>
    <row r="2" spans="1:28" x14ac:dyDescent="0.15">
      <c r="A2" t="s">
        <v>6</v>
      </c>
      <c r="B2" t="s">
        <v>13</v>
      </c>
      <c r="C2" t="s">
        <v>13</v>
      </c>
      <c r="D2">
        <v>12</v>
      </c>
      <c r="E2">
        <v>0.6</v>
      </c>
      <c r="F2">
        <v>0.7</v>
      </c>
      <c r="G2" t="s">
        <v>4</v>
      </c>
      <c r="H2" t="s">
        <v>5</v>
      </c>
      <c r="I2" t="s">
        <v>9</v>
      </c>
      <c r="J2" t="s">
        <v>10</v>
      </c>
      <c r="K2" t="s">
        <v>7</v>
      </c>
      <c r="L2" t="s">
        <v>7</v>
      </c>
      <c r="M2" t="s">
        <v>8</v>
      </c>
      <c r="N2" t="s">
        <v>1</v>
      </c>
      <c r="O2" t="s">
        <v>35</v>
      </c>
      <c r="P2" t="s">
        <v>49</v>
      </c>
      <c r="Q2" t="s">
        <v>221</v>
      </c>
      <c r="R2" t="s">
        <v>222</v>
      </c>
      <c r="S2" t="s">
        <v>223</v>
      </c>
      <c r="T2" t="s">
        <v>413</v>
      </c>
      <c r="U2" t="s">
        <v>414</v>
      </c>
      <c r="V2" t="s">
        <v>20</v>
      </c>
      <c r="W2" t="s">
        <v>224</v>
      </c>
      <c r="X2" t="s">
        <v>57</v>
      </c>
      <c r="Y2" t="s">
        <v>95</v>
      </c>
      <c r="Z2" t="s">
        <v>95</v>
      </c>
      <c r="AA2" t="s">
        <v>95</v>
      </c>
      <c r="AB2" t="s">
        <v>95</v>
      </c>
    </row>
    <row r="3" spans="1:28" x14ac:dyDescent="0.15">
      <c r="A3" t="s">
        <v>16</v>
      </c>
      <c r="B3" t="s">
        <v>29</v>
      </c>
      <c r="C3" t="s">
        <v>29</v>
      </c>
      <c r="D3">
        <v>24</v>
      </c>
      <c r="E3">
        <v>1</v>
      </c>
      <c r="F3">
        <v>1</v>
      </c>
      <c r="G3" t="s">
        <v>14</v>
      </c>
      <c r="H3" t="s">
        <v>15</v>
      </c>
      <c r="I3" t="s">
        <v>21</v>
      </c>
      <c r="J3" t="s">
        <v>22</v>
      </c>
      <c r="K3" t="s">
        <v>18</v>
      </c>
      <c r="L3" t="s">
        <v>17</v>
      </c>
      <c r="M3" t="s">
        <v>19</v>
      </c>
      <c r="N3" t="s">
        <v>12</v>
      </c>
      <c r="O3" t="s">
        <v>41</v>
      </c>
      <c r="P3" t="s">
        <v>52</v>
      </c>
      <c r="S3" t="s">
        <v>227</v>
      </c>
      <c r="T3" t="s">
        <v>415</v>
      </c>
      <c r="U3" t="s">
        <v>416</v>
      </c>
      <c r="V3" t="s">
        <v>337</v>
      </c>
      <c r="W3" t="s">
        <v>228</v>
      </c>
      <c r="X3" t="s">
        <v>96</v>
      </c>
      <c r="Y3" t="s">
        <v>97</v>
      </c>
      <c r="Z3" t="s">
        <v>98</v>
      </c>
      <c r="AA3" t="s">
        <v>99</v>
      </c>
      <c r="AB3" t="s">
        <v>100</v>
      </c>
    </row>
    <row r="4" spans="1:28" x14ac:dyDescent="0.15">
      <c r="C4" t="s">
        <v>36</v>
      </c>
      <c r="D4">
        <v>36</v>
      </c>
      <c r="E4">
        <v>0.25</v>
      </c>
      <c r="F4">
        <v>0.5</v>
      </c>
      <c r="H4" t="s">
        <v>30</v>
      </c>
      <c r="I4" t="s">
        <v>33</v>
      </c>
      <c r="J4" t="s">
        <v>34</v>
      </c>
      <c r="K4" t="s">
        <v>32</v>
      </c>
      <c r="L4" t="s">
        <v>31</v>
      </c>
      <c r="T4" t="s">
        <v>417</v>
      </c>
      <c r="U4" t="s">
        <v>418</v>
      </c>
      <c r="V4" t="s">
        <v>338</v>
      </c>
      <c r="W4" t="s">
        <v>230</v>
      </c>
      <c r="X4" t="s">
        <v>102</v>
      </c>
      <c r="Y4" t="s">
        <v>97</v>
      </c>
      <c r="Z4" t="s">
        <v>103</v>
      </c>
      <c r="AA4" t="s">
        <v>104</v>
      </c>
      <c r="AB4" t="s">
        <v>100</v>
      </c>
    </row>
    <row r="5" spans="1:28" x14ac:dyDescent="0.15">
      <c r="C5" t="s">
        <v>42</v>
      </c>
      <c r="D5">
        <v>48</v>
      </c>
      <c r="E5">
        <v>0.35</v>
      </c>
      <c r="F5">
        <v>0.3</v>
      </c>
      <c r="H5" t="s">
        <v>37</v>
      </c>
      <c r="K5" t="s">
        <v>39</v>
      </c>
      <c r="L5" t="s">
        <v>38</v>
      </c>
      <c r="T5" t="s">
        <v>419</v>
      </c>
      <c r="U5" t="s">
        <v>420</v>
      </c>
      <c r="V5" t="s">
        <v>339</v>
      </c>
      <c r="W5" t="s">
        <v>231</v>
      </c>
      <c r="X5" t="s">
        <v>106</v>
      </c>
      <c r="Y5" t="s">
        <v>97</v>
      </c>
      <c r="Z5" t="s">
        <v>107</v>
      </c>
      <c r="AA5" t="s">
        <v>108</v>
      </c>
      <c r="AB5" t="s">
        <v>100</v>
      </c>
    </row>
    <row r="6" spans="1:28" x14ac:dyDescent="0.15">
      <c r="D6">
        <v>60</v>
      </c>
      <c r="K6" t="s">
        <v>43</v>
      </c>
      <c r="V6" t="s">
        <v>340</v>
      </c>
      <c r="W6" t="s">
        <v>233</v>
      </c>
      <c r="X6" t="s">
        <v>110</v>
      </c>
      <c r="Y6" t="s">
        <v>111</v>
      </c>
      <c r="Z6" t="s">
        <v>112</v>
      </c>
      <c r="AA6" t="s">
        <v>113</v>
      </c>
      <c r="AB6" t="s">
        <v>100</v>
      </c>
    </row>
    <row r="7" spans="1:28" x14ac:dyDescent="0.15">
      <c r="D7">
        <v>72</v>
      </c>
      <c r="K7" t="s">
        <v>46</v>
      </c>
      <c r="V7" t="s">
        <v>341</v>
      </c>
      <c r="W7" t="s">
        <v>234</v>
      </c>
      <c r="X7" t="s">
        <v>115</v>
      </c>
      <c r="Y7" t="s">
        <v>116</v>
      </c>
      <c r="Z7" t="s">
        <v>117</v>
      </c>
      <c r="AA7" t="s">
        <v>118</v>
      </c>
      <c r="AB7" t="s">
        <v>100</v>
      </c>
    </row>
    <row r="8" spans="1:28" x14ac:dyDescent="0.15">
      <c r="K8" t="s">
        <v>50</v>
      </c>
      <c r="V8" t="s">
        <v>342</v>
      </c>
      <c r="W8" t="s">
        <v>235</v>
      </c>
      <c r="X8" t="s">
        <v>119</v>
      </c>
      <c r="Y8" t="s">
        <v>120</v>
      </c>
      <c r="Z8" t="s">
        <v>121</v>
      </c>
      <c r="AA8" t="s">
        <v>124</v>
      </c>
      <c r="AB8" t="s">
        <v>100</v>
      </c>
    </row>
    <row r="9" spans="1:28" x14ac:dyDescent="0.15">
      <c r="V9" t="s">
        <v>343</v>
      </c>
      <c r="W9" t="s">
        <v>236</v>
      </c>
      <c r="X9" t="s">
        <v>122</v>
      </c>
      <c r="Y9" t="s">
        <v>421</v>
      </c>
      <c r="Z9" t="s">
        <v>123</v>
      </c>
      <c r="AA9" t="s">
        <v>128</v>
      </c>
      <c r="AB9" t="s">
        <v>100</v>
      </c>
    </row>
    <row r="10" spans="1:28" x14ac:dyDescent="0.15">
      <c r="V10" t="s">
        <v>344</v>
      </c>
      <c r="W10" t="s">
        <v>239</v>
      </c>
      <c r="X10" t="s">
        <v>125</v>
      </c>
      <c r="Y10" t="s">
        <v>126</v>
      </c>
      <c r="Z10" t="s">
        <v>127</v>
      </c>
      <c r="AA10" t="s">
        <v>422</v>
      </c>
      <c r="AB10" t="s">
        <v>100</v>
      </c>
    </row>
    <row r="11" spans="1:28" x14ac:dyDescent="0.15">
      <c r="V11" t="s">
        <v>345</v>
      </c>
      <c r="W11" t="s">
        <v>242</v>
      </c>
      <c r="X11" t="s">
        <v>129</v>
      </c>
      <c r="Y11" t="s">
        <v>130</v>
      </c>
      <c r="Z11" t="s">
        <v>131</v>
      </c>
      <c r="AA11" t="s">
        <v>132</v>
      </c>
      <c r="AB11" t="s">
        <v>133</v>
      </c>
    </row>
    <row r="12" spans="1:28" x14ac:dyDescent="0.15">
      <c r="V12" t="s">
        <v>346</v>
      </c>
      <c r="W12" t="s">
        <v>244</v>
      </c>
      <c r="X12" t="s">
        <v>134</v>
      </c>
      <c r="Y12" t="s">
        <v>130</v>
      </c>
      <c r="Z12" t="s">
        <v>135</v>
      </c>
      <c r="AA12" t="s">
        <v>136</v>
      </c>
      <c r="AB12" t="s">
        <v>133</v>
      </c>
    </row>
    <row r="13" spans="1:28" x14ac:dyDescent="0.15">
      <c r="V13" t="s">
        <v>44</v>
      </c>
      <c r="W13" t="s">
        <v>247</v>
      </c>
      <c r="X13" t="s">
        <v>140</v>
      </c>
      <c r="Y13" t="s">
        <v>130</v>
      </c>
      <c r="Z13" t="s">
        <v>141</v>
      </c>
      <c r="AA13" t="s">
        <v>142</v>
      </c>
      <c r="AB13" t="s">
        <v>133</v>
      </c>
    </row>
    <row r="14" spans="1:28" x14ac:dyDescent="0.15">
      <c r="V14" t="s">
        <v>347</v>
      </c>
      <c r="W14" t="s">
        <v>248</v>
      </c>
      <c r="X14" t="s">
        <v>143</v>
      </c>
      <c r="Y14" t="s">
        <v>130</v>
      </c>
      <c r="Z14" t="s">
        <v>144</v>
      </c>
      <c r="AA14" t="s">
        <v>145</v>
      </c>
      <c r="AB14" t="s">
        <v>143</v>
      </c>
    </row>
    <row r="15" spans="1:28" x14ac:dyDescent="0.15">
      <c r="V15" t="s">
        <v>348</v>
      </c>
      <c r="W15" t="s">
        <v>250</v>
      </c>
    </row>
    <row r="16" spans="1:28" x14ac:dyDescent="0.15">
      <c r="V16" t="s">
        <v>47</v>
      </c>
      <c r="W16" t="s">
        <v>251</v>
      </c>
    </row>
    <row r="17" spans="22:28" x14ac:dyDescent="0.15">
      <c r="V17" t="s">
        <v>349</v>
      </c>
      <c r="W17" t="s">
        <v>252</v>
      </c>
    </row>
    <row r="18" spans="22:28" x14ac:dyDescent="0.15">
      <c r="V18" t="s">
        <v>350</v>
      </c>
      <c r="W18" t="s">
        <v>253</v>
      </c>
    </row>
    <row r="19" spans="22:28" x14ac:dyDescent="0.15">
      <c r="V19" t="s">
        <v>351</v>
      </c>
      <c r="W19" t="s">
        <v>255</v>
      </c>
      <c r="X19" t="s">
        <v>150</v>
      </c>
      <c r="Y19" t="s">
        <v>151</v>
      </c>
      <c r="Z19" t="s">
        <v>152</v>
      </c>
      <c r="AA19" t="s">
        <v>145</v>
      </c>
      <c r="AB19" t="s">
        <v>150</v>
      </c>
    </row>
    <row r="20" spans="22:28" x14ac:dyDescent="0.15">
      <c r="V20" t="s">
        <v>352</v>
      </c>
      <c r="W20" t="s">
        <v>264</v>
      </c>
      <c r="X20" t="s">
        <v>154</v>
      </c>
      <c r="Y20" t="s">
        <v>151</v>
      </c>
      <c r="Z20" t="s">
        <v>155</v>
      </c>
      <c r="AA20" t="s">
        <v>145</v>
      </c>
      <c r="AB20" t="s">
        <v>154</v>
      </c>
    </row>
    <row r="21" spans="22:28" x14ac:dyDescent="0.15">
      <c r="V21" t="s">
        <v>55</v>
      </c>
      <c r="W21" t="s">
        <v>265</v>
      </c>
    </row>
    <row r="22" spans="22:28" x14ac:dyDescent="0.15">
      <c r="V22" t="s">
        <v>58</v>
      </c>
      <c r="W22" t="s">
        <v>266</v>
      </c>
    </row>
    <row r="23" spans="22:28" x14ac:dyDescent="0.15">
      <c r="V23" t="s">
        <v>353</v>
      </c>
      <c r="W23" t="s">
        <v>267</v>
      </c>
    </row>
    <row r="24" spans="22:28" x14ac:dyDescent="0.15">
      <c r="V24" t="s">
        <v>59</v>
      </c>
      <c r="W24" t="s">
        <v>268</v>
      </c>
    </row>
    <row r="25" spans="22:28" x14ac:dyDescent="0.15">
      <c r="V25" t="s">
        <v>354</v>
      </c>
      <c r="W25" t="s">
        <v>269</v>
      </c>
    </row>
    <row r="26" spans="22:28" x14ac:dyDescent="0.15">
      <c r="V26" t="s">
        <v>60</v>
      </c>
      <c r="W26" t="s">
        <v>270</v>
      </c>
    </row>
    <row r="27" spans="22:28" x14ac:dyDescent="0.15">
      <c r="V27" t="s">
        <v>355</v>
      </c>
      <c r="W27" t="s">
        <v>271</v>
      </c>
    </row>
    <row r="28" spans="22:28" x14ac:dyDescent="0.15">
      <c r="V28" t="s">
        <v>356</v>
      </c>
      <c r="W28" t="s">
        <v>272</v>
      </c>
    </row>
    <row r="29" spans="22:28" x14ac:dyDescent="0.15">
      <c r="V29" t="s">
        <v>61</v>
      </c>
      <c r="W29" t="s">
        <v>273</v>
      </c>
    </row>
    <row r="30" spans="22:28" x14ac:dyDescent="0.15">
      <c r="V30" t="s">
        <v>357</v>
      </c>
      <c r="W30" t="s">
        <v>274</v>
      </c>
    </row>
    <row r="31" spans="22:28" x14ac:dyDescent="0.15">
      <c r="V31" t="s">
        <v>66</v>
      </c>
      <c r="W31" t="s">
        <v>275</v>
      </c>
    </row>
    <row r="32" spans="22:28" x14ac:dyDescent="0.15">
      <c r="V32" t="s">
        <v>358</v>
      </c>
      <c r="W32" t="s">
        <v>276</v>
      </c>
    </row>
    <row r="33" spans="22:23" x14ac:dyDescent="0.15">
      <c r="V33" t="s">
        <v>359</v>
      </c>
      <c r="W33" t="s">
        <v>277</v>
      </c>
    </row>
    <row r="34" spans="22:23" x14ac:dyDescent="0.15">
      <c r="V34" t="s">
        <v>68</v>
      </c>
      <c r="W34" t="s">
        <v>278</v>
      </c>
    </row>
    <row r="35" spans="22:23" x14ac:dyDescent="0.15">
      <c r="V35" t="s">
        <v>360</v>
      </c>
      <c r="W35" t="s">
        <v>279</v>
      </c>
    </row>
    <row r="36" spans="22:23" x14ac:dyDescent="0.15">
      <c r="V36" t="s">
        <v>361</v>
      </c>
      <c r="W36" t="s">
        <v>280</v>
      </c>
    </row>
    <row r="37" spans="22:23" x14ac:dyDescent="0.15">
      <c r="V37" t="s">
        <v>69</v>
      </c>
      <c r="W37" t="s">
        <v>281</v>
      </c>
    </row>
    <row r="38" spans="22:23" x14ac:dyDescent="0.15">
      <c r="V38" t="s">
        <v>362</v>
      </c>
      <c r="W38" t="s">
        <v>282</v>
      </c>
    </row>
    <row r="39" spans="22:23" x14ac:dyDescent="0.15">
      <c r="V39" t="s">
        <v>363</v>
      </c>
      <c r="W39" t="s">
        <v>284</v>
      </c>
    </row>
    <row r="40" spans="22:23" x14ac:dyDescent="0.15">
      <c r="V40" t="s">
        <v>364</v>
      </c>
      <c r="W40" t="s">
        <v>285</v>
      </c>
    </row>
    <row r="41" spans="22:23" x14ac:dyDescent="0.15">
      <c r="V41" t="s">
        <v>365</v>
      </c>
      <c r="W41" t="s">
        <v>287</v>
      </c>
    </row>
    <row r="42" spans="22:23" x14ac:dyDescent="0.15">
      <c r="V42" t="s">
        <v>366</v>
      </c>
    </row>
    <row r="43" spans="22:23" x14ac:dyDescent="0.15">
      <c r="V43" t="s">
        <v>367</v>
      </c>
    </row>
    <row r="44" spans="22:23" x14ac:dyDescent="0.15">
      <c r="V44" t="s">
        <v>368</v>
      </c>
    </row>
    <row r="45" spans="22:23" x14ac:dyDescent="0.15">
      <c r="V45" t="s">
        <v>369</v>
      </c>
    </row>
    <row r="46" spans="22:23" x14ac:dyDescent="0.15">
      <c r="V46" t="s">
        <v>370</v>
      </c>
    </row>
    <row r="47" spans="22:23" x14ac:dyDescent="0.15">
      <c r="V47" t="s">
        <v>371</v>
      </c>
    </row>
    <row r="48" spans="22:23" x14ac:dyDescent="0.15">
      <c r="V48" t="s">
        <v>75</v>
      </c>
    </row>
    <row r="49" spans="22:22" x14ac:dyDescent="0.15">
      <c r="V49" t="s">
        <v>78</v>
      </c>
    </row>
    <row r="50" spans="22:22" x14ac:dyDescent="0.15">
      <c r="V50" t="s">
        <v>79</v>
      </c>
    </row>
    <row r="51" spans="22:22" x14ac:dyDescent="0.15">
      <c r="V51" t="s">
        <v>372</v>
      </c>
    </row>
    <row r="52" spans="22:22" x14ac:dyDescent="0.15">
      <c r="V52" t="s">
        <v>373</v>
      </c>
    </row>
    <row r="53" spans="22:22" x14ac:dyDescent="0.15">
      <c r="V53" t="s">
        <v>374</v>
      </c>
    </row>
    <row r="54" spans="22:22" x14ac:dyDescent="0.15">
      <c r="V54" t="s">
        <v>375</v>
      </c>
    </row>
    <row r="55" spans="22:22" x14ac:dyDescent="0.15">
      <c r="V55" t="s">
        <v>376</v>
      </c>
    </row>
    <row r="56" spans="22:22" x14ac:dyDescent="0.15">
      <c r="V56" t="s">
        <v>377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B8E7CA00843D45A28FD641D6494757" ma:contentTypeVersion="13" ma:contentTypeDescription="Ein neues Dokument erstellen." ma:contentTypeScope="" ma:versionID="122cc76461cd245d40d7acc8177706e5">
  <xsd:schema xmlns:xsd="http://www.w3.org/2001/XMLSchema" xmlns:xs="http://www.w3.org/2001/XMLSchema" xmlns:p="http://schemas.microsoft.com/office/2006/metadata/properties" xmlns:ns2="7394c7e8-1e6b-4631-ad95-77956c781a54" xmlns:ns3="8fceeed3-9197-4671-813a-7e9afda481cc" targetNamespace="http://schemas.microsoft.com/office/2006/metadata/properties" ma:root="true" ma:fieldsID="8d9ca2e0543ade3de6ed7bc8f5092d92" ns2:_="" ns3:_="">
    <xsd:import namespace="7394c7e8-1e6b-4631-ad95-77956c781a54"/>
    <xsd:import namespace="8fceeed3-9197-4671-813a-7e9afda48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4c7e8-1e6b-4631-ad95-77956c781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3a283bc3-514a-41af-8544-02522ab21d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ceeed3-9197-4671-813a-7e9afda481c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a61319e-0e12-4c14-9e98-dba0e9046677}" ma:internalName="TaxCatchAll" ma:showField="CatchAllData" ma:web="8fceeed3-9197-4671-813a-7e9afda48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7394c7e8-1e6b-4631-ad95-77956c781a54" xsi:nil="true"/>
    <TaxCatchAll xmlns="8fceeed3-9197-4671-813a-7e9afda481cc" xsi:nil="true"/>
    <lcf76f155ced4ddcb4097134ff3c332f xmlns="7394c7e8-1e6b-4631-ad95-77956c781a5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4CC43F-7BC2-42F9-BAF9-5BC720B7850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394c7e8-1e6b-4631-ad95-77956c781a54"/>
    <ds:schemaRef ds:uri="8fceeed3-9197-4671-813a-7e9afda481cc"/>
  </ds:schemaRefs>
</ds:datastoreItem>
</file>

<file path=customXml/itemProps2.xml><?xml version="1.0" encoding="utf-8"?>
<ds:datastoreItem xmlns:ds="http://schemas.openxmlformats.org/officeDocument/2006/customXml" ds:itemID="{E6A8AA30-E702-4921-809A-36E798364AC6}">
  <ds:schemaRefs>
    <ds:schemaRef ds:uri="http://schemas.microsoft.com/office/2006/metadata/properties"/>
    <ds:schemaRef ds:uri="http://www.w3.org/2000/xmlns/"/>
    <ds:schemaRef ds:uri="7394c7e8-1e6b-4631-ad95-77956c781a54"/>
    <ds:schemaRef ds:uri="http://www.w3.org/2001/XMLSchema-instance"/>
    <ds:schemaRef ds:uri="8fceeed3-9197-4671-813a-7e9afda481cc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79B20A-3FA8-41AF-924C-F86B885E7A1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ce1a05f-f16b-42c8-a9a0-040df73f5450}" enabled="1" method="Standard" siteId="{3bca960d-6721-45ab-9762-b5e13562ef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25</vt:i4>
      </vt:variant>
    </vt:vector>
  </HeadingPairs>
  <TitlesOfParts>
    <vt:vector size="30" baseType="lpstr">
      <vt:lpstr>Kalkulation</vt:lpstr>
      <vt:lpstr>Detail Solutions</vt:lpstr>
      <vt:lpstr>GE-Leasing</vt:lpstr>
      <vt:lpstr>Miete Graphax</vt:lpstr>
      <vt:lpstr>Listen</vt:lpstr>
      <vt:lpstr>lstAnlieferung</vt:lpstr>
      <vt:lpstr>lstBusinessType</vt:lpstr>
      <vt:lpstr>lstClickType</vt:lpstr>
      <vt:lpstr>lstFaktGebuehren</vt:lpstr>
      <vt:lpstr>lstFaktLeasing</vt:lpstr>
      <vt:lpstr>lstFakturierung</vt:lpstr>
      <vt:lpstr>lstFCMaintenance</vt:lpstr>
      <vt:lpstr>lstFCProjekt</vt:lpstr>
      <vt:lpstr>lstFCSoftware</vt:lpstr>
      <vt:lpstr>lstFleet</vt:lpstr>
      <vt:lpstr>lstJaNein</vt:lpstr>
      <vt:lpstr>lstKalkHW</vt:lpstr>
      <vt:lpstr>lstKalkSW</vt:lpstr>
      <vt:lpstr>lstLabelKontakt</vt:lpstr>
      <vt:lpstr>lstLabelPauschale</vt:lpstr>
      <vt:lpstr>lstLaufzeit</vt:lpstr>
      <vt:lpstr>lstMehrscan</vt:lpstr>
      <vt:lpstr>lstMehrseitenColor</vt:lpstr>
      <vt:lpstr>lstMehrseitenSW</vt:lpstr>
      <vt:lpstr>lstSLA</vt:lpstr>
      <vt:lpstr>lstSLAType</vt:lpstr>
      <vt:lpstr>lstSupportType</vt:lpstr>
      <vt:lpstr>lstVertragsart</vt:lpstr>
      <vt:lpstr>lstZaehler</vt:lpstr>
      <vt:lpstr>tblZaehler</vt:lpstr>
    </vt:vector>
  </TitlesOfParts>
  <Manager/>
  <Company>Graphax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Minder Lukas</dc:creator>
  <cp:keywords/>
  <dc:description/>
  <cp:lastModifiedBy>Vanessa Waller</cp:lastModifiedBy>
  <cp:revision/>
  <dcterms:created xsi:type="dcterms:W3CDTF">2005-01-11T05:44:03Z</dcterms:created>
  <dcterms:modified xsi:type="dcterms:W3CDTF">2026-08-19T12:29:38Z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0x01010034B8E7CA00843D45A28FD641D6494757</vt:lpwstr>
  </property>
  <property fmtid="{D5CDD505-2E9C-101B-9397-08002B2CF9AE}" pid="4" name="Order">
    <vt:r8>2895400</vt:r8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SharedWithUsers">
    <vt:lpwstr>65;#Pichon Yves;#37;#Oberson Philippe;#57;#Könz Armon;#163;#Soto Cesar;#118;#SharingLinks.a469c746-f832-49b3-bfdc-d5efddd7b5d0.Flexible.ced79205-61ed-499d-aa3c-c753d5919a4c;#84;#Fux Thomas;#204;#Muff Kevin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SIP_Label_6ce1a05f-f16b-42c8-a9a0-040df73f5450_Enabled">
    <vt:lpwstr>true</vt:lpwstr>
  </property>
  <property fmtid="{D5CDD505-2E9C-101B-9397-08002B2CF9AE}" pid="14" name="MSIP_Label_6ce1a05f-f16b-42c8-a9a0-040df73f5450_SetDate">
    <vt:lpwstr>2024-03-21T10:57:25Z</vt:lpwstr>
  </property>
  <property fmtid="{D5CDD505-2E9C-101B-9397-08002B2CF9AE}" pid="15" name="MSIP_Label_6ce1a05f-f16b-42c8-a9a0-040df73f5450_Method">
    <vt:lpwstr>Standard</vt:lpwstr>
  </property>
  <property fmtid="{D5CDD505-2E9C-101B-9397-08002B2CF9AE}" pid="16" name="MSIP_Label_6ce1a05f-f16b-42c8-a9a0-040df73f5450_Name">
    <vt:lpwstr>defa4170-0d19-0005-0003-bc88714345d2</vt:lpwstr>
  </property>
  <property fmtid="{D5CDD505-2E9C-101B-9397-08002B2CF9AE}" pid="17" name="MSIP_Label_6ce1a05f-f16b-42c8-a9a0-040df73f5450_SiteId">
    <vt:lpwstr>3bca960d-6721-45ab-9762-b5e13562effe</vt:lpwstr>
  </property>
  <property fmtid="{D5CDD505-2E9C-101B-9397-08002B2CF9AE}" pid="18" name="MSIP_Label_6ce1a05f-f16b-42c8-a9a0-040df73f5450_ActionId">
    <vt:lpwstr>c623e24b-c3e0-48bc-aa60-cf309eccced3</vt:lpwstr>
  </property>
  <property fmtid="{D5CDD505-2E9C-101B-9397-08002B2CF9AE}" pid="19" name="MSIP_Label_6ce1a05f-f16b-42c8-a9a0-040df73f5450_ContentBits">
    <vt:lpwstr>0</vt:lpwstr>
  </property>
</Properties>
</file>